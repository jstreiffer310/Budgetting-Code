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Excel_Analyzer_Output" sheetId="2" r:id="rId5"/>
    <sheet state="visible" name="Diagnostic_Hub" sheetId="3" r:id="rId6"/>
    <sheet state="hidden" name="Failed_Parsing" sheetId="4" r:id="rId7"/>
    <sheet state="visible" name="Accounts" sheetId="5" r:id="rId8"/>
    <sheet state="visible" name="Transactions" sheetId="6" r:id="rId9"/>
    <sheet state="visible" name="Learning_Hub" sheetId="7" r:id="rId10"/>
    <sheet state="visible" name="Holdings" sheetId="8" r:id="rId11"/>
    <sheet state="visible" name="Categories" sheetId="9" r:id="rId12"/>
    <sheet state="visible" name="CSV_Import" sheetId="10" r:id="rId13"/>
    <sheet state="visible" name="Staging" sheetId="11" r:id="rId14"/>
    <sheet state="visible" name="AuditLog" sheetId="12" r:id="rId15"/>
  </sheets>
  <definedNames/>
  <calcPr/>
</workbook>
</file>

<file path=xl/sharedStrings.xml><?xml version="1.0" encoding="utf-8"?>
<sst xmlns="http://schemas.openxmlformats.org/spreadsheetml/2006/main" count="8195" uniqueCount="747">
  <si>
    <t>Finance Dashboard Summary - Enhanced with AI Learning</t>
  </si>
  <si>
    <t>Last Updated: 8/21/2025, 11:22:04 AM</t>
  </si>
  <si>
    <t>Monthly Expenses</t>
  </si>
  <si>
    <t>Column 1</t>
  </si>
  <si>
    <t>Column 2</t>
  </si>
  <si>
    <t>Column 3</t>
  </si>
  <si>
    <t>Column 4</t>
  </si>
  <si>
    <t>Category Breakdown:</t>
  </si>
  <si>
    <t xml:space="preserve">  • Uncategorized</t>
  </si>
  <si>
    <t xml:space="preserve">  • Drug Store</t>
  </si>
  <si>
    <t xml:space="preserve">  • Alcohol</t>
  </si>
  <si>
    <t xml:space="preserve">  • Dining</t>
  </si>
  <si>
    <t xml:space="preserve">  • investment</t>
  </si>
  <si>
    <t>Account Balances:</t>
  </si>
  <si>
    <t xml:space="preserve">  • PC Financial</t>
  </si>
  <si>
    <t xml:space="preserve">  • CIBC Aventura</t>
  </si>
  <si>
    <t xml:space="preserve">  • CIBC Dividend</t>
  </si>
  <si>
    <t xml:space="preserve">  • Wealthsimple RRSP</t>
  </si>
  <si>
    <t xml:space="preserve">  • Wealthsimple Cash</t>
  </si>
  <si>
    <t xml:space="preserve">  • SUM</t>
  </si>
  <si>
    <t>Investment Portfolio</t>
  </si>
  <si>
    <t>AI Category Learning Stats:</t>
  </si>
  <si>
    <t xml:space="preserve">  • Learned Merchants:</t>
  </si>
  <si>
    <t xml:space="preserve">  • Categorized Transactions:</t>
  </si>
  <si>
    <t xml:space="preserve">  • Needs Categorization:</t>
  </si>
  <si>
    <t xml:space="preserve">  • Accuracy Rate:</t>
  </si>
  <si>
    <t>Net Worth</t>
  </si>
  <si>
    <t>Notes</t>
  </si>
  <si>
    <t>Updated: 8/21/2025, 1:30:45 AM</t>
  </si>
  <si>
    <t>Timestamp</t>
  </si>
  <si>
    <t>FileName</t>
  </si>
  <si>
    <t>SheetName</t>
  </si>
  <si>
    <t>Analysis</t>
  </si>
  <si>
    <t>Issues</t>
  </si>
  <si>
    <t>Recommendations</t>
  </si>
  <si>
    <t>DataQuality</t>
  </si>
  <si>
    <t>Status</t>
  </si>
  <si>
    <t>System Health</t>
  </si>
  <si>
    <t>CRITICAL</t>
  </si>
  <si>
    <t>⬇️ CRITICAL</t>
  </si>
  <si>
    <t>NEEDS_ATTENTION</t>
  </si>
  <si>
    <t>Monitor critical issues and implement recommended fixes</t>
  </si>
  <si>
    <t>Error: GENERAL_ERROR</t>
  </si>
  <si>
    <t>HIGH</t>
  </si>
  <si>
    <t>Review error details and implement appropriate error handling.</t>
  </si>
  <si>
    <t>Error: PERMISSION_ERROR</t>
  </si>
  <si>
    <t>Verify script permissions and user access rights. Re-authorize if necessary.</t>
  </si>
  <si>
    <t>Error: UNDEFINED_VARIABLE</t>
  </si>
  <si>
    <t>Check variable definitions and scoping. Ensure all required functions are implemented.</t>
  </si>
  <si>
    <t>Error: SPREADSHEET_ERROR</t>
  </si>
  <si>
    <t>LOW</t>
  </si>
  <si>
    <t>MEDIUM</t>
  </si>
  <si>
    <t>Verify sheet names and ranges. Ensure sheets exist before accessing.</t>
  </si>
  <si>
    <t>Error: QUOTA_ERROR</t>
  </si>
  <si>
    <t>Reduce API calls or implement rate limiting. Consider upgrading quota limits.</t>
  </si>
  <si>
    <t>Error: PARSING_ERROR</t>
  </si>
  <si>
    <t>Review email parsing logic. Update patterns for new email formats.</t>
  </si>
  <si>
    <t>Error: UNDEFINED_DOMAIN_ERROR</t>
  </si>
  <si>
    <t>Error: UNKNOWN_PARSING_ERROR</t>
  </si>
  <si>
    <t>SystemComponent</t>
  </si>
  <si>
    <t>IssueType</t>
  </si>
  <si>
    <t>Severity</t>
  </si>
  <si>
    <t>Description</t>
  </si>
  <si>
    <t>DataSample</t>
  </si>
  <si>
    <t>RecommendedAction</t>
  </si>
  <si>
    <t>AffectedRecords</t>
  </si>
  <si>
    <t>ResolvedAt</t>
  </si>
  <si>
    <t>Category</t>
  </si>
  <si>
    <t>TrendIndicator</t>
  </si>
  <si>
    <t>EmailId</t>
  </si>
  <si>
    <t>From</t>
  </si>
  <si>
    <t>Subject</t>
  </si>
  <si>
    <t>BodyPreview</t>
  </si>
  <si>
    <t>FailureReason</t>
  </si>
  <si>
    <t>AttemptedParsers</t>
  </si>
  <si>
    <t>AIAnalysis</t>
  </si>
  <si>
    <t>Priority</t>
  </si>
  <si>
    <t>198c88577439d0d6</t>
  </si>
  <si>
    <t>"service@intl.paypal.com" &lt;service@intl.paypal.com&gt;</t>
  </si>
  <si>
    <t>You authorized a payment to GitHub, Inc.</t>
  </si>
  <si>
    <t xml:space="preserve"> You authorized a payment to GitHub, Inc. Jeremiah Streiffer, thanks for 
using PayPal. 
[image: PayPal] 
Hello, Jeremiah Streiffer 
You authorized US$10.00 to GitHub, Inc.
Merchant GitHub, Inc.
supp</t>
  </si>
  <si>
    <t>Parsing error: domain is not defined</t>
  </si>
  <si>
    <t>{"patterns":[{"type":"amount_detection","pattern":"$10.00","context":"Streiffer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GitH","confidence":0.8},{"type":"amount_detection","pattern":"$14.45","context":"K OF COMMERCE\n\nCredit ••6271\n\n$14.45 CAD\nPayPal’s conversion rate:","confidence":0.8},{"type":"amount_detection","pattern":"1.00","context":"AD\nPayPal’s conversion rate: *1.0000 CAD = 0.692 USD* \n\nThis rat","confidence":0.8},{"type":"amount_detection","pattern":"0.69","context":"onversion rate: *1.0000 CAD = 0.692 USD* \n\nThis rate includes a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1.35","context":"n=em&amp;s=ci&amp;mail=sys&amp;appVersion=1.350.0&amp;xt=145585%2C165082%2C15056","confidence":0.8},{"type":"amount_detection","pattern":"1.42","context":"font-size: 14px; line-height: 1.4286; height: 100%; } *, *:befor","confidence":0.8},{"type":"amount_detection","pattern":"1.42","context":"font-size: 14px; line-height: 1.4286; height: 100%; } *, *:befor","confidence":0.8},{"type":"amount_detection","pattern":"1.42","context":"font-size: 14px; line-height: 1.4286; height: 100%; } *, *:befor","confidence":0.8},{"type":"amount_detection","pattern":"$10.00","context":"Streiffer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GitH","confidence":0.8},{"type":"amount_detection","pattern":"$10.00","context":"Streiffer \n\nYou authorized US$10.00 to GitHub, Inc.\nMerchant GitH","confidence":0.8},{"type":"amount_detection","pattern":"$14.45","context":"K OF COMMERCE\n\nCredit ••6271\n\n$14.45 CAD\nPayPal’s conversion rate:","confidence":0.8},{"type":"amount_detection","pattern":"1.00","context":"AD\nPayPal’s conversion rate: *1.0000 CAD = 0.692 USD* \n\nThis rat","confidence":0.8},{"type":"amount_detection","pattern":"0.69","context":"onversion rate: *1.0000 CAD = 0.692 USD* \n\nThis rate includes a","confidence":0.8},{"type":"merchant_extraction","pattern":"GitHub, Inc. Jeremiah Streiffer, thanks for \nusing","context":"to ","confidence":0.6},{"type":"merchant_extraction","pattern":"GitHub, Inc.\nMerchant GitHub, Inc.\nsupport","context":"to ","confidence":0.6},{"type":"merchant_extraction","pattern":"preventing fraudulent emails. Emails from PayPal","context":"to ","confidence":0.6},{"type":"merchant_extraction","pattern":"identify phishing","context":"to ","confidence":0.6},{"type":"merchant_extraction","pattern":"you for the ongoing support and maintenance of you","context":"to ","confidence":0.6},{"type":"merchant_extraction","pattern":"To manage your communication preferences, please visi","context":"to ","confidence":0.6},{"type":"merchant_extraction","pattern":"this email. We are unable to respond to inquiries","context":"to ","confidence":0.6},{"type":"merchant_extraction","pattern":"this address. For immediate answers to your questi","context":"to ","confidence":0.6},{"type":"merchant_extraction","pattern":"your privacy, learn more about our privacy \nstatem","context":"to ","confidence":0.6},{"type":"merchant_extraction","pattern":"GitHub, Inc.","context":"to ","confidence":0.6},{"type":"merchant_extraction","pattern":"honor line-height","context":"to ","confidence":0.6},{"type":"merchant_extraction","pattern":"GitHub, Inc. Merchant GitHub, Inc. support","context":"to ","confidence":0.6},{"type":"merchant_extraction","pattern":"preventing fraudulent emails. Emails from PayPal w","context":"to ","confidence":0.6},{"type":"merchant_extraction","pattern":"identify phishing This email was sent to you for t","context":"to ","confidence":0.6},{"type":"merchant_extraction","pattern":"To manage your communication preferences, please visi","context":"to ","confidence":0.6},{"type":"merchant_extraction","pattern":"this email. We are unable to respond to inquiries","context":"to ","confidence":0.6},{"type":"merchant_extraction","pattern":"this address. For immediate answers to your questi","context":"to ","confidence":0.6},{"type":"merchant_extraction","pattern":"your privacy, learn more about our privacy stateme","context":"to ","confidence":0.6},{"type":"merchant_extraction","pattern":"jstreiffer310","context":"from ","confidence":0.6},{"type":"merchant_extraction","pattern":"PayPal \nwill always contain your full name. Learn","context":"from ","confidence":0.6},{"type":"merchant_extraction","pattern":"jstreiffer310","context":"from ","confidence":0.6},{"type":"merchant_extraction","pattern":"PayPal will always contain your full name. Learn t","context":"from ","confidence":0.6}],"priority":"HIGH","suggestions":["Consider adding new email parser for this domain"]}</t>
  </si>
  <si>
    <t>PENDING_AI_ANALYSIS</t>
  </si>
  <si>
    <t>198b99ac8af02059</t>
  </si>
  <si>
    <t>PC Financial &lt;info@account.pcfinancial.ca&gt;</t>
  </si>
  <si>
    <t>Jeremiah, a card on your PC Financial® account has been activated.</t>
  </si>
  <si>
    <t>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 ͏‌</t>
  </si>
  <si>
    <t>{"patterns":[{"type":"merchant_extraction","pattern":"use.","context":"to ","confidence":0.6},{"type":"merchant_extraction","pattern":"To make sure your new card is linked your PC Optim","context":"to ","confidence":0.6},{"type":"merchant_extraction","pattern":"your PC Optimum","context":"to ","confidence":0.6},{"type":"merchant_extraction","pattern":"activate their card. Please note","context":"to ","confidence":0.6},{"type":"merchant_extraction","pattern":"create their own PC Financial","context":"to ","confidence":0.6},{"type":"merchant_extraction","pattern":"view your offers","context":"to ","confidence":0.6},{"type":"merchant_extraction","pattern":"To do this, simply open the","context":"to ","confidence":0.6},{"type":"merchant_extraction","pattern":"housing all your offers, the PC Financial","context":"to ","confidence":0.6},{"type":"merchant_extraction","pattern":"receive","context":"to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","confidence":0.6},{"type":"merchant_extraction","pattern":"use. To make sure your new card is linked to your","context":"to ","confidence":0.6},{"type":"merchant_extraction","pattern":"your PC Financial","context":"to ","confidence":0.6},{"type":"merchant_extraction","pattern":"your PC Optimum","context":"to ","confidence":0.6},{"type":"merchant_extraction","pattern":"activate their card. Please note","context":"to ","confidence":0.6},{"type":"merchant_extraction","pattern":"create their own PC Financial","context":"to ","confidence":0.6},{"type":"merchant_extraction","pattern":"view your offers","context":"to ","confidence":0.6},{"type":"merchant_extraction","pattern":"To do this, simply open the Offers tab in your app an","context":"to ","confidence":0.6},{"type":"merchant_extraction","pattern":"housing all your offers, the PC Financial","context":"to ","confidence":0.6},{"type":"merchant_extraction","pattern":"receive Don","context":"to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","confidence":0.6},{"type":"merchant_extraction","pattern":"pcfinancial.ca","context":"at ","confidence":0.6},{"type":"merchant_extraction","pattern":"At any time, you may unsubscribe","context":"at ","confidence":0.6},{"type":"merchant_extraction","pattern":"pcfinancial.ca","context":"at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","confidence":0.6}],"priority":"HIGH","suggestions":[]}</t>
  </si>
  <si>
    <t>198b99ab88c0ac37</t>
  </si>
  <si>
    <t>Jeremiah, we’ve processed your request to change your PIN</t>
  </si>
  <si>
    <t>{"patterns":[{"type":"merchant_extraction","pattern":"enter it up to three times to activate it.","context":"to ","confidence":0.6},{"type":"merchant_extraction","pattern":"your online profile","context":"to ","confidence":0.6},{"type":"merchant_extraction","pattern":"let us know.\r\n\r\nThank you,\r\nThe PC Financial","context":"to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","confidence":0.6},{"type":"merchant_extraction","pattern":"enter it up to three times to activate it. Didn","context":"to ","confidence":0.6},{"type":"merchant_extraction","pattern":"your online profile to let us know. Thank you, The","context":"to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","confidence":0.6},{"type":"merchant_extraction","pattern":"At any time, you may unsubscribe","context":"at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","confidence":0.6}],"priority":"HIGH","suggestions":[]}</t>
  </si>
  <si>
    <t>198b22f3c34b48f0</t>
  </si>
  <si>
    <t>CIBC Banking &lt;mailbox.noreply@cibc.com&gt;</t>
  </si>
  <si>
    <t>eStatement Alert</t>
  </si>
  <si>
    <t xml:space="preserve">
[image: CIBC Logo.] 
Hi Jeremiah Streiffer, 
Your eStatement for the current month for your CIBC credit card ending in 
6271 is now available. Please sign on to CIBC Mobile Banking® or CIBC 
Online B</t>
  </si>
  <si>
    <t>{"patterns":[{"type":"merchant_extraction","pattern":"CIBC Mobile Banking","context":"to ","confidence":0.6},{"type":"merchant_extraction","pattern":"My documents for details.","context":"to ","confidence":0.6},{"type":"merchant_extraction","pattern":"find My documents.","context":"to ","confidence":0.6},{"type":"merchant_extraction","pattern":"the search bar. \nThank you for banking with us. \nT","context":"to ","confidence":0.6},{"type":"merchant_extraction","pattern":"protecting your privacy and personal information.","context":"to ","confidence":0.6},{"type":"merchant_extraction","pattern":"this email. \nIf you received this message in error","context":"to ","confidence":0.6},{"type":"merchant_extraction","pattern":"CIBC Banking and \nselect Contact Us. Then, select","context":"to ","confidence":0.6},{"type":"merchant_extraction","pattern":"connect to our virtual \nassistant or a live agent.","context":"to ","confidence":0.6},{"type":"merchant_extraction","pattern":"receive these alerts, sign on to CIBC Banking, go","context":"to ","confidence":0.6},{"type":"merchant_extraction","pattern":"Manage My Alerts and turn off this alert. \n\nHi Jer","context":"to ","confidence":0.6},{"type":"merchant_extraction","pattern":"CIBC Mobile Banking","context":"to ","confidence":0.6},{"type":"merchant_extraction","pattern":"My documents for details. In mobile banking","context":"to ","confidence":0.6},{"type":"merchant_extraction","pattern":"find My documents. In online banking","context":"to ","confidence":0.6},{"type":"merchant_extraction","pattern":"the search bar. Thank you for banking with us. TM","context":"to ","confidence":0.6},{"type":"merchant_extraction","pattern":"protecting your privacy and personal information.","context":"to ","confidence":0.6},{"type":"merchant_extraction","pattern":"this email. If you received this message in error,","context":"to ","confidence":0.6},{"type":"merchant_extraction","pattern":"CIBC Banking and select Contact Us. Then, select S","context":"to ","confidence":0.6},{"type":"merchant_extraction","pattern":"connect to our virtual assistant or a live agent.","context":"to ","confidence":0.6},{"type":"merchant_extraction","pattern":"receive these alerts, sign on to CIBC Banking, go","context":"to ","confidence":0.6},{"type":"merchant_extraction","pattern":"Manage My Alerts and turn off this alert.","context":"to ","confidence":0.6}],"priority":"HIGH","suggestions":[]}</t>
  </si>
  <si>
    <t>198cacde1d3d03d1</t>
  </si>
  <si>
    <t>PC Money™ Account purchase notice</t>
  </si>
  <si>
    <t>{"patterns":[{"type":"amount_detection","pattern":"$35.00","context":"Hi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Ac","confidence":0.8},{"type":"amount_detection","pattern":"$35.00","context":"Hi Jeremiah,\r\n\r\nA purchase of $35.00 was made on your PC Money™ Ac","confidence":0.8},{"type":"merchant_extraction","pattern":"your online account","context":"to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","confidence":0.6},{"type":"merchant_extraction","pattern":"your online account . If you or an additional card","context":"to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","confidence":0.6},{"type":"merchant_extraction","pattern":"1 877 939 3933.\r\n\r\nThank you,\r\n\r\nThe PC Financial","context":"at ","confidence":0.6},{"type":"merchant_extraction","pattern":"At any time, you may unsubscribe","context":"at ","confidence":0.6},{"type":"merchant_extraction","pattern":"1 877 939 3933. Thank you, The PC Financial","context":"at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","confidence":0.6},{"type":"merchant_extraction","pattern":"Merchant: \r\nPurchase amount","context":"merchant:","confidence":0.6}],"priority":"HIGH","suggestions":["Consider adding new email parser for this domain"]}</t>
  </si>
  <si>
    <t>198cacddf286dd25</t>
  </si>
  <si>
    <t>Your PC Money™ Account balance is below  $100.00</t>
  </si>
  <si>
    <t>{"patterns":[{"type":"amount_detection","pattern":"$100.00","context":"count ending in 7758 is below $100.00.*\r\n\r\nIf a transaction on your","confidence":0.8},{"type":"amount_detection","pattern":"$0.00","context":"rest on any balance less than $0.00, and any transactions that ex","confidence":0.8},{"type":"amount_detection","pattern":"$100.00","context":"count ending in 7758 is below $100.00.*\r\n\r\nIf a transaction on your","confidence":0.8},{"type":"amount_detection","pattern":"$0.00","context":"rest on any balance less than $0.00, and any transactions that ex","confidence":0.8},{"type":"merchant_extraction","pattern":"have you as a customer.","context":"to ","confidence":0.6},{"type":"merchant_extraction","pattern":"inform you that the balance on your PC Money","context":"to ","confidence":0.6},{"type":"merchant_extraction","pattern":"insufficient funds, you may be charged a non-suffi","context":"to ","confidence":0.6},{"type":"merchant_extraction","pattern":"To avoid fees or declined transactions, log in you","context":"to ","confidence":0.6},{"type":"merchant_extraction","pattern":"To modify your optional alert preferences, please  lo","context":"to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","confidence":0.6},{"type":"merchant_extraction","pattern":"display the Desktop layout","context":"to ","confidence":0.6},{"type":"merchant_extraction","pattern":"have you as a customer. This is a courtesy notice","context":"to ","confidence":0.6},{"type":"merchant_extraction","pattern":"inform you that the balance on your PC Money","context":"to ","confidence":0.6},{"type":"merchant_extraction","pattern":"insufficient funds, you may be charged a non-suffi","context":"to ","confidence":0.6},{"type":"merchant_extraction","pattern":"To avoid fees or declined transactions, log in you","context":"to ","confidence":0.6},{"type":"merchant_extraction","pattern":"To modify your optional alert preferences, please log","context":"to ","confidence":0.6},{"type":"merchant_extraction","pattern":"your PC Financial","context":"to ","confidence":0.6},{"type":"merchant_extraction","pattern":"us. This is not a promotional email. At any time,","context":"to ","confidence":0.6},{"type":"merchant_extraction","pattern":"this email.","context":"to ","confidence":0.6},{"type":"merchant_extraction","pattern":"the balance on your PC Money","context":"at ","confidence":0.6},{"type":"merchant_extraction","pattern":"exceed your overdraft protection limit may be decl","context":"at ","confidence":0.6},{"type":"merchant_extraction","pattern":"At any time, you may unsubscribe","context":"at ","confidence":0.6},{"type":"merchant_extraction","pattern":"the balance on your PC Money","context":"at ","confidence":0.6},{"type":"merchant_extraction","pattern":"exceed your overdraft protection limit may be decl","context":"at ","confidence":0.6},{"type":"merchant_extraction","pattern":"At any time, you may unsubscribe from promotional ema","context":"at ","confidence":0.6},{"type":"merchant_extraction","pattern":"promotional email sent by President","context":"from ","confidence":0.6},{"type":"merchant_extraction","pattern":"promotional email sent by President","context":"from ","confidence":0.6}],"priority":"HIGH","suggestions":["Consider adding new email parser for this domain"]}</t>
  </si>
  <si>
    <t>UNDEFINED_VARIABLE</t>
  </si>
  <si>
    <t>Failed to commit transaction</t>
  </si>
  <si>
    <t>useHistoricalCategorization is not defined</t>
  </si>
  <si>
    <t>{"transaction":{"date":"2025-08-21T04:05:46.000Z","amount":-35,"direction":"OUT","fromAccount":"PC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</si>
  <si>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PENDING</t>
  </si>
  <si>
    <t>All parsing methods failed</t>
  </si>
  <si>
    <t>pcfinancial</t>
  </si>
  <si>
    <t>{"transaction":{"date":"2025-08-20T17:27:26.000Z","amount":-14.45,"direction":"OUT","fromAccount":"CIBC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</si>
  <si>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cibc</t>
  </si>
  <si>
    <t>APPLICATION_ERROR</t>
  </si>
  <si>
    <t>PDF text extraction failed</t>
  </si>
  <si>
    <t>Invalid argument: blob</t>
  </si>
  <si>
    <t>{}</t>
  </si>
  <si>
    <t>PDF processing failed</t>
  </si>
  <si>
    <t>Failed to extract text from PDF</t>
  </si>
  <si>
    <t>{"transaction":{"date":"2025-08-21T07:39:20.000Z","amount":215.32,"direction":"IN","fromAccount":"credit refund","toAccount":"CIBC Aventura","bank":"CIBC Aventura Credit","emailId":"198cb916e7a56f8c","type":"Card Credit/Refund","notes":"Credit/refund from Credit Refund","senderInfo":{"id":"cibc","merchantInfoQuality":"excellent","accountDetectionMethod":"card_analysis","transactionType":"credit"},"fingerprint":"KqFX3sJhSEBk"}}</t>
  </si>
  <si>
    <t>Account</t>
  </si>
  <si>
    <t>Balance</t>
  </si>
  <si>
    <t>Last Updated</t>
  </si>
  <si>
    <t>Type</t>
  </si>
  <si>
    <t>PC Financial</t>
  </si>
  <si>
    <t>Checking</t>
  </si>
  <si>
    <t>CIBC Aventura</t>
  </si>
  <si>
    <t>Credit Card</t>
  </si>
  <si>
    <t>CIBC Dividend</t>
  </si>
  <si>
    <t>Wealthsimple RRSP</t>
  </si>
  <si>
    <t>Investment</t>
  </si>
  <si>
    <t>Wealthsimple Cash</t>
  </si>
  <si>
    <t>Cash</t>
  </si>
  <si>
    <t>SUM</t>
  </si>
  <si>
    <t>Date</t>
  </si>
  <si>
    <t>Amount</t>
  </si>
  <si>
    <t>To</t>
  </si>
  <si>
    <t>Bank</t>
  </si>
  <si>
    <t>PAYPAL GITHUB INC</t>
  </si>
  <si>
    <t>CIBC Aventura Credit</t>
  </si>
  <si>
    <t>Credit/refund from PAYPAL GITHUB INC</t>
  </si>
  <si>
    <t>198c885115a192d3</t>
  </si>
  <si>
    <t>Uncategorized</t>
  </si>
  <si>
    <t>Card Credit/Refund</t>
  </si>
  <si>
    <t>JoeX+8PSi8dp</t>
  </si>
  <si>
    <t>Purchase amount: $215.32</t>
  </si>
  <si>
    <t>PC Financial Purchase</t>
  </si>
  <si>
    <t>198c3db8aa7e9352</t>
  </si>
  <si>
    <t>PAD</t>
  </si>
  <si>
    <t>eIOIgK0wHWGk</t>
  </si>
  <si>
    <t>Purchase amount: $189.00</t>
  </si>
  <si>
    <t>198c3da7a43ae4e7</t>
  </si>
  <si>
    <t>0tI27fwvPg97</t>
  </si>
  <si>
    <t>e-Transfer from you.</t>
  </si>
  <si>
    <t>Interac Deposit</t>
  </si>
  <si>
    <t>Received from you.</t>
  </si>
  <si>
    <t>198c3da6c178ad8d</t>
  </si>
  <si>
    <t>Interac</t>
  </si>
  <si>
    <t>KGtfM3WC9Igp</t>
  </si>
  <si>
    <t>e-Transfer from Unknown Sender</t>
  </si>
  <si>
    <t>Interac Deposit (Interac e-Transfer: You've received $312.00 from Micah Streiffer and it has been automatically deposited.)</t>
  </si>
  <si>
    <t>198c3ba13605f539</t>
  </si>
  <si>
    <t>External Transfer</t>
  </si>
  <si>
    <t>mrxEHppbok/m</t>
  </si>
  <si>
    <t>CIBC Card Payment</t>
  </si>
  <si>
    <t>Payment to CIBC Aventura</t>
  </si>
  <si>
    <t>198c19b4d51e9627</t>
  </si>
  <si>
    <t>Internal Transfer</t>
  </si>
  <si>
    <t>Card Payment</t>
  </si>
  <si>
    <t>4y298g8GA77u</t>
  </si>
  <si>
    <t>Interac Deposit (Interac e-Transfer: You've received $40.00 from Yair Streiffer and it has been automatically deposited.)</t>
  </si>
  <si>
    <t>198bead264314244</t>
  </si>
  <si>
    <t>Alcohol</t>
  </si>
  <si>
    <t>g1y3t8/pJbsK</t>
  </si>
  <si>
    <t>LCBO</t>
  </si>
  <si>
    <t>CIBC Aventura Purchase</t>
  </si>
  <si>
    <t>198bea0278458148</t>
  </si>
  <si>
    <t>aXgWAbzSEJvh</t>
  </si>
  <si>
    <t>CIBC Aventura ****6271</t>
  </si>
  <si>
    <t>UBER CANADA/UBEREATS</t>
  </si>
  <si>
    <t>CIBC Credit Card</t>
  </si>
  <si>
    <t>Auto-logged (Standalone Purchase)</t>
  </si>
  <si>
    <t>198be181e74ba867</t>
  </si>
  <si>
    <t>Dining</t>
  </si>
  <si>
    <t>xGkQuLVPVdZC</t>
  </si>
  <si>
    <t>SHOPPERS DRUG MART #965</t>
  </si>
  <si>
    <t>198b97e0ed1b14b1</t>
  </si>
  <si>
    <t>Drug Store</t>
  </si>
  <si>
    <t>rnXf00obG2R/</t>
  </si>
  <si>
    <t>PC Money Cash Account ...7758</t>
  </si>
  <si>
    <t>Purchase amount: $175.45</t>
  </si>
  <si>
    <t>PC Money Purchase</t>
  </si>
  <si>
    <t>Auto-logged (PAD)</t>
  </si>
  <si>
    <t>198b899633b9042b</t>
  </si>
  <si>
    <t>aCo2vhIiHoXb</t>
  </si>
  <si>
    <t>198ae758106503cd</t>
  </si>
  <si>
    <t>uk0rptb4cT+l</t>
  </si>
  <si>
    <t>Purchase amount: $500.00</t>
  </si>
  <si>
    <t>Auto-logged (PAD) [fp:TB7Al8QN1uL0]</t>
  </si>
  <si>
    <t>198b01e581bb59fd</t>
  </si>
  <si>
    <t>dPynCjp4mHZE</t>
  </si>
  <si>
    <t>Purchase amount: $20.00</t>
  </si>
  <si>
    <t>Auto-logged (PAD) [fp:EeT/SQOVrPXf]</t>
  </si>
  <si>
    <t>198ae75715d09cac</t>
  </si>
  <si>
    <t>n6ljsqN/lWsr</t>
  </si>
  <si>
    <t>Wealthsimple</t>
  </si>
  <si>
    <t>Wealthsimple Investments</t>
  </si>
  <si>
    <t>198aadb22b02c02e</t>
  </si>
  <si>
    <t>investment</t>
  </si>
  <si>
    <t>aOur/qjRxrSn</t>
  </si>
  <si>
    <t>Wealthsimple Trade</t>
  </si>
  <si>
    <t>Trade</t>
  </si>
  <si>
    <t>198a9f88dc73deef</t>
  </si>
  <si>
    <t>MwSvmNCnB08C</t>
  </si>
  <si>
    <t>President's Choice Financial (****239)</t>
  </si>
  <si>
    <t>Retirey McRetireface (RRSP)</t>
  </si>
  <si>
    <t>Wealthsimple Deposit</t>
  </si>
  <si>
    <t>Auto-logged (Internal Transfer, Standalone)</t>
  </si>
  <si>
    <t>198a954619e6d34f</t>
  </si>
  <si>
    <t>EZ5Ttf52vZkc</t>
  </si>
  <si>
    <t>Purchase amount: $35.00</t>
  </si>
  <si>
    <t>Auto-logged (PAD) [fp:jCWu9XvfQiic]</t>
  </si>
  <si>
    <t>198a6c0bc2995352</t>
  </si>
  <si>
    <t>Savings (Internal)</t>
  </si>
  <si>
    <t>Ih60mrOOc8KU</t>
  </si>
  <si>
    <t>LearningType</t>
  </si>
  <si>
    <t>Pattern</t>
  </si>
  <si>
    <t>Context</t>
  </si>
  <si>
    <t>Confidence</t>
  </si>
  <si>
    <t>SuccessCount</t>
  </si>
  <si>
    <t>FailureCount</t>
  </si>
  <si>
    <t>Metadata</t>
  </si>
  <si>
    <t>CrossValidated</t>
  </si>
  <si>
    <t>sender_identification</t>
  </si>
  <si>
    <t>CIBC Banking &lt;Mailbox.noreply@cibc.com&gt;</t>
  </si>
  <si>
    <t>{"domain":"cibc.com&gt;","confidence":"high"}</t>
  </si>
  <si>
    <t>ACTIVE</t>
  </si>
  <si>
    <t>amount_detection</t>
  </si>
  <si>
    <t xml:space="preserve">
Dear Jeremiah, 
You've recently received a $215.32 payment to your CIBC Aventura Visa 
Infinite Card ending in 6271.
Note: some payments may take up to 3 hours to be displayed on CIBC Online 
or M</t>
  </si>
  <si>
    <t>{"senderId":"cibc","currency":"CAD"}</t>
  </si>
  <si>
    <t>{"domain":"account.pcfinancial.ca&gt;","confidence":"high"}</t>
  </si>
  <si>
    <t>{"senderId":"pcfinancial","currency":"CAD"}</t>
  </si>
  <si>
    <t>count ending in 7758 is below $100.00.*
If a transaction on your</t>
  </si>
  <si>
    <t>{"source":"failure_analysis","emailDomain":"account.pcfinancial.ca&gt;","failureReason":"All parsing methods failed"}</t>
  </si>
  <si>
    <t>rest on any balance less than $0.00, and any transactions that ex</t>
  </si>
  <si>
    <t>merchant_extraction</t>
  </si>
  <si>
    <t>have you as a customer.</t>
  </si>
  <si>
    <t xml:space="preserve">to </t>
  </si>
  <si>
    <t>inform you that the balance on your PC Money</t>
  </si>
  <si>
    <t>insufficient funds, you may be charged a non-suffi</t>
  </si>
  <si>
    <t>To avoid fees or declined transactions, log in you</t>
  </si>
  <si>
    <t>To modify your optional alert preferences, please  lo</t>
  </si>
  <si>
    <t>your PC Financial</t>
  </si>
  <si>
    <t>us. This is not a promotional email. At any time,</t>
  </si>
  <si>
    <t>this email.</t>
  </si>
  <si>
    <t>display the Desktop layout</t>
  </si>
  <si>
    <t>have you as a customer. This is a courtesy notice</t>
  </si>
  <si>
    <t>To modify your optional alert preferences, please log</t>
  </si>
  <si>
    <t>the balance on your PC Money</t>
  </si>
  <si>
    <t xml:space="preserve">at </t>
  </si>
  <si>
    <t>exceed your overdraft protection limit may be decl</t>
  </si>
  <si>
    <t>At any time, you may unsubscribe</t>
  </si>
  <si>
    <t>At any time, you may unsubscribe from promotional ema</t>
  </si>
  <si>
    <t>promotional email sent by President</t>
  </si>
  <si>
    <t xml:space="preserve">from </t>
  </si>
  <si>
    <t>{"senderId":"paypal","currency":"CAD","pattern":"paypal_authorization"}</t>
  </si>
  <si>
    <t>GitHub, Inc. Jeremiah Streiffer, thanks for</t>
  </si>
  <si>
    <t>{"senderId":"paypal","extractionMethod":"authorization_pattern"}</t>
  </si>
  <si>
    <t>email_parsing</t>
  </si>
  <si>
    <t>paypal_authorization_success</t>
  </si>
  <si>
    <t>You authorized a payment to GitHub, Inc. |  You authorized a payment to GitHub, Inc. Jeremiah Streiffer, thanks for 
using PayPal. 
[image: Pay</t>
  </si>
  <si>
    <t>{"senderId":"paypal","transactionType":"authorization","linkedAccount":"CIBC Aventura"}</t>
  </si>
  <si>
    <t>paypal</t>
  </si>
  <si>
    <t>{"domain":"intl.paypal.com\" &lt;service","confidence":"high"}</t>
  </si>
  <si>
    <t>{"senderId":"paypal","currency":"CAD"}</t>
  </si>
  <si>
    <t>use.</t>
  </si>
  <si>
    <t>To make sure your new card is linked your PC Optim</t>
  </si>
  <si>
    <t>your PC Optimum</t>
  </si>
  <si>
    <t>activate their card. Please note</t>
  </si>
  <si>
    <t>create their own PC Financial</t>
  </si>
  <si>
    <t>view your offers</t>
  </si>
  <si>
    <t>To do this, simply open the</t>
  </si>
  <si>
    <t>housing all your offers, the PC Financial</t>
  </si>
  <si>
    <t>receive</t>
  </si>
  <si>
    <t>use. To make sure your new card is linked to your</t>
  </si>
  <si>
    <t>To do this, simply open the Offers tab in your app an</t>
  </si>
  <si>
    <t>receive Don</t>
  </si>
  <si>
    <t>pcfinancial.ca</t>
  </si>
  <si>
    <t>enter it up to three times to activate it.</t>
  </si>
  <si>
    <t>your online profile</t>
  </si>
  <si>
    <t>let us know.
Thank you,
The PC Financial</t>
  </si>
  <si>
    <t>enter it up to three times to activate it. Didn</t>
  </si>
  <si>
    <t>your online profile to let us know. Thank you, The</t>
  </si>
  <si>
    <t>CIBC Mobile Banking</t>
  </si>
  <si>
    <t>{"source":"failure_analysis","emailDomain":"cibc.com&gt;","failureReason":"All parsing methods failed"}</t>
  </si>
  <si>
    <t>My documents for details.</t>
  </si>
  <si>
    <t>find My documents.</t>
  </si>
  <si>
    <t>the search bar. 
Thank you for banking with us. 
T</t>
  </si>
  <si>
    <t>protecting your privacy and personal information.</t>
  </si>
  <si>
    <t>this email. 
If you received this message in error</t>
  </si>
  <si>
    <t>CIBC Banking and 
select Contact Us. Then, select</t>
  </si>
  <si>
    <t>connect to our virtual 
assistant or a live agent.</t>
  </si>
  <si>
    <t>receive these alerts, sign on to CIBC Banking, go</t>
  </si>
  <si>
    <t>Manage My Alerts and turn off this alert. 
Hi Jer</t>
  </si>
  <si>
    <t>My documents for details. In mobile banking</t>
  </si>
  <si>
    <t>find My documents. In online banking</t>
  </si>
  <si>
    <t>the search bar. Thank you for banking with us. TM</t>
  </si>
  <si>
    <t>this email. If you received this message in error,</t>
  </si>
  <si>
    <t>CIBC Banking and select Contact Us. Then, select S</t>
  </si>
  <si>
    <t>connect to our virtual assistant or a live agent.</t>
  </si>
  <si>
    <t>Manage My Alerts and turn off this alert.</t>
  </si>
  <si>
    <t>Ticker</t>
  </si>
  <si>
    <t>Shares</t>
  </si>
  <si>
    <t>Unit Price (CAD)</t>
  </si>
  <si>
    <t>Total Value (CAD)</t>
  </si>
  <si>
    <t>VCE</t>
  </si>
  <si>
    <t>XEQT</t>
  </si>
  <si>
    <t>Keyword</t>
  </si>
  <si>
    <t>Import Date</t>
  </si>
  <si>
    <t>Source File</t>
  </si>
  <si>
    <t>Records Imported</t>
  </si>
  <si>
    <t>StagedAt</t>
  </si>
  <si>
    <t>Direction</t>
  </si>
  <si>
    <t>Level</t>
  </si>
  <si>
    <t>Message</t>
  </si>
  <si>
    <t>User</t>
  </si>
  <si>
    <t>ERROR</t>
  </si>
  <si>
    <t>Failed to create menu</t>
  </si>
  <si>
    <t>{"error":"The rowContents passed to appendRow() must be nonempty."}</t>
  </si>
  <si>
    <t>jstreiffer310@gmail.com</t>
  </si>
  <si>
    <t>INFO</t>
  </si>
  <si>
    <t>Finance automation process failed</t>
  </si>
  <si>
    <t>Added headers to sheet: Holdings</t>
  </si>
  <si>
    <t>Data repair completed: 15 issues fixed</t>
  </si>
  <si>
    <t>System diagnostics completed</t>
  </si>
  <si>
    <t>{"diagnosticsCount":12}</t>
  </si>
  <si>
    <t>Finance Automation V6 menu loaded successfully</t>
  </si>
  <si>
    <t>Step 1: Processing new emails...</t>
  </si>
  <si>
    <t>Processing 20 email threads</t>
  </si>
  <si>
    <t>Email processing completed</t>
  </si>
  <si>
    <t>{"processed":0,"staged":0,"total":0}</t>
  </si>
  <si>
    <t>Step 2: Cleaning up stale transactions...</t>
  </si>
  <si>
    <t>Step 3: Pairing staged transfers...</t>
  </si>
  <si>
    <t>No staged transactions to pair</t>
  </si>
  <si>
    <t>Step 4: Updating holdings and balances...</t>
  </si>
  <si>
    <t>Holdings sheet is empty, skipping update</t>
  </si>
  <si>
    <t>Step 5: Learning categories...</t>
  </si>
  <si>
    <t>No category rules found</t>
  </si>
  <si>
    <t>Step 6: Updating net worth history...</t>
  </si>
  <si>
    <t>Net worth updated: 16905.75</t>
  </si>
  <si>
    <t>Step 7: Rebuilding dashboard...</t>
  </si>
  <si>
    <t>Failed to build dashboard</t>
  </si>
  <si>
    <t>{"error":"Service Spreadsheets failed while accessing document with id 1-eUeYMTeKoz2bIkHS8Jc2J9vO0Bnl8y6aHXmXGdJqg8."}</t>
  </si>
  <si>
    <t>Step 8: Applying formatting...</t>
  </si>
  <si>
    <t>Conditional formatting applied successfully</t>
  </si>
  <si>
    <t>Category suggestions completed: 8 suggestions added</t>
  </si>
  <si>
    <t>Holdings update completed: 0 holdings processed</t>
  </si>
  <si>
    <t>Updated holding: BTC-CAD in Wealthsimple Crypto</t>
  </si>
  <si>
    <t>{"shares":0.00176,"price":0,"value":0}</t>
  </si>
  <si>
    <t>Updated holding: DOT-CAD in Wealthsimple Crypto</t>
  </si>
  <si>
    <t>{"shares":1.965126,"price":0,"value":0}</t>
  </si>
  <si>
    <t>Updated holding: ETH-CAD in Wealthsimple Crypto</t>
  </si>
  <si>
    <t>{"shares":0.006272,"price":0,"value":0}</t>
  </si>
  <si>
    <t>Updated holding: SHIB-CAD in Wealthsimple Crypto</t>
  </si>
  <si>
    <t>{"shares":693146.684119,"price":0,"value":0}</t>
  </si>
  <si>
    <t>Updated holding: SOL-CAD in Wealthsimple Crypto</t>
  </si>
  <si>
    <t>{"shares":0.009404,"price":0,"value":0}</t>
  </si>
  <si>
    <t>Updated holding: BTC in Wealthsimple Crypto</t>
  </si>
  <si>
    <t>{"shares":0.00176,"price":50.07,"value":0.0881232}</t>
  </si>
  <si>
    <t>Updated holding: DOT in Wealthsimple Crypto</t>
  </si>
  <si>
    <t>{"shares":1.965126,"price":2,"value":3.930252}</t>
  </si>
  <si>
    <t>Updated holding: ETH in Wealthsimple Crypto</t>
  </si>
  <si>
    <t>{"shares":0.006272,"price":38.94,"value":0.24423167999999998}</t>
  </si>
  <si>
    <t>Updated holding: SHIB in Wealthsimple Crypto</t>
  </si>
  <si>
    <t>Updated holding: SOL in Wealthsimple Crypto</t>
  </si>
  <si>
    <t>{"shares":0.009404,"price":1.87,"value":0.01758548}</t>
  </si>
  <si>
    <t>Updated Wealthsimple Crypto investment balance: 4.28</t>
  </si>
  <si>
    <t>Holdings update completed: 4 holdings processed</t>
  </si>
  <si>
    <t>Net worth updated: 16815.15</t>
  </si>
  <si>
    <t>{"shares":0.000176,"price":50.07,"value":0.00881232}</t>
  </si>
  <si>
    <t>Updated Wealthsimple Crypto investment balance: 4.20</t>
  </si>
  <si>
    <t>Net worth updated: 16815.07</t>
  </si>
  <si>
    <t>Updated holding: TSE: VCE in Wealthsimple RRSP</t>
  </si>
  <si>
    <t>{"shares":20.0121,"price":0,"value":0}</t>
  </si>
  <si>
    <t>Updated holding: TSE-VCE in Wealthsimple RRSP</t>
  </si>
  <si>
    <t>Updated holding: CAD-SHIB in Wealthsimple Crypto</t>
  </si>
  <si>
    <t>Updated holding: VCE-TSE in Wealthsimple RRSP</t>
  </si>
  <si>
    <t>Updated holding: SHIB-USD in Wealthsimple Crypto</t>
  </si>
  <si>
    <t>Updated holding: VCE.TO in Wealthsimple RRSP</t>
  </si>
  <si>
    <t>{"shares":20.0121,"price":60.65,"value":1213.733865}</t>
  </si>
  <si>
    <t>Updated holding: XEQT.TO in Wealthsimple RRSP</t>
  </si>
  <si>
    <t>{"shares":13.541,"price":37.19,"value":503.58979}</t>
  </si>
  <si>
    <t>Updated Wealthsimple RRSP investment balance: 1717.32</t>
  </si>
  <si>
    <t>Holdings update completed: 6 holdings processed</t>
  </si>
  <si>
    <t>Processing 19 email threads</t>
  </si>
  <si>
    <t>{"shares":0.000176,"price":49.95,"value":0.0087912}</t>
  </si>
  <si>
    <t>{"shares":0.006272,"price":39.04,"value":0.24485887999999997}</t>
  </si>
  <si>
    <t>{"shares":0.009404,"price":1.85,"value":0.0173974}</t>
  </si>
  <si>
    <t>{"shares":20.0121,"price":60.72,"value":1215.134712}</t>
  </si>
  <si>
    <t>{"shares":13.541,"price":37.035,"value":501.490935}</t>
  </si>
  <si>
    <t>Updated Wealthsimple RRSP investment balance: 1716.63</t>
  </si>
  <si>
    <t>Net worth updated: 16643.90</t>
  </si>
  <si>
    <t>Failed to repair data issues</t>
  </si>
  <si>
    <t>{"error":"_normalize is not defined"}</t>
  </si>
  <si>
    <t>Failed to process email 198c3da6c178ad8d</t>
  </si>
  <si>
    <t>{"error":"_lc is not defined"}</t>
  </si>
  <si>
    <t>Failed to process email 198b99ac8af02059</t>
  </si>
  <si>
    <t>Failed to process email 198b99ab88c0ac37</t>
  </si>
  <si>
    <t>Failed to process email 198b22f3c34b48f0</t>
  </si>
  <si>
    <t>Failed to process email 198ae758106503cd</t>
  </si>
  <si>
    <t>Failed to update holdings and balances</t>
  </si>
  <si>
    <t>{"error":"HOLDINGS_SHEET_NAME is not defined"}</t>
  </si>
  <si>
    <t>{"error":"learnCategories is not defined"}</t>
  </si>
  <si>
    <t>{"error":"ACCOUNTS_SHEET_NAME is not defined"}</t>
  </si>
  <si>
    <t>learnCategories called (stub implementation)</t>
  </si>
  <si>
    <t>{"error":"_updateNetWorthHistory is not defined"}</t>
  </si>
  <si>
    <t>Net worth history overwritten for today</t>
  </si>
  <si>
    <t>{"date":"2025-08-20T04:00:00.000Z","netWorth":16643.89694648}</t>
  </si>
  <si>
    <t>{"error":"buildDashboard is not defined"}</t>
  </si>
  <si>
    <t>Updated BTC: 50.51 CAD via GOOGLEFINANCE</t>
  </si>
  <si>
    <t>Updated DOT: 2 CAD via GOOGLEFINANCE</t>
  </si>
  <si>
    <t>Updated ETH: 40.47 CAD via GOOGLEFINANCE</t>
  </si>
  <si>
    <t>Updated SHIB-USD: 0 CAD via Manual</t>
  </si>
  <si>
    <t>Updated SOL: 1.87 CAD via GOOGLEFINANCE</t>
  </si>
  <si>
    <t>Updated VCE.TO: 0 CAD via Manual</t>
  </si>
  <si>
    <t>Updated XEQT.TO: 0 CAD via Manual</t>
  </si>
  <si>
    <t>{"date":"2025-08-20T04:00:00.000Z","netWorth":16643.90620208}</t>
  </si>
  <si>
    <t>Dashboard rebuilt (stub)</t>
  </si>
  <si>
    <t>{"error":"applyConditionalFormatting is not defined"}</t>
  </si>
  <si>
    <t>Updated BTC: 50.38 CAD via GOOGLEFINANCE</t>
  </si>
  <si>
    <t>Updated ETH: 40.5 CAD via GOOGLEFINANCE</t>
  </si>
  <si>
    <t>{"date":"2025-08-20T04:00:00.000Z","netWorth":16643.90636736}</t>
  </si>
  <si>
    <t>Conditional formatting applied</t>
  </si>
  <si>
    <t>Updated BTC: 50.48 CAD via GOOGLEFINANCE</t>
  </si>
  <si>
    <t>Updated ETH: 40.6 CAD via GOOGLEFINANCE</t>
  </si>
  <si>
    <t>Updated VCE.TO: 0 CAD via GOOGLEFINANCE</t>
  </si>
  <si>
    <t>Updated XEQT.TO: 0 CAD via GOOGLEFINANCE</t>
  </si>
  <si>
    <t>{"date":"2025-08-20T04:00:00.000Z","netWorth":16643.90701216}</t>
  </si>
  <si>
    <t>Updated CIBC Aventura balance: -56.10 → -70.55</t>
  </si>
  <si>
    <t>Committed transaction: 198c885115a192d3</t>
  </si>
  <si>
    <t>{"amount":-14.45,"from":"CIBC Aventura","to":"Merchant","type":"Card Purchase"}</t>
  </si>
  <si>
    <t>Processed email: Card Purchase</t>
  </si>
  <si>
    <t>{"emailId":"198c885115a192d3","amount":-14.45}</t>
  </si>
  <si>
    <t>{"processed":1,"staged":0,"total":1}</t>
  </si>
  <si>
    <t>Updated BTC: 50.5 CAD via GOOGLEFINANCE</t>
  </si>
  <si>
    <t>Updated ETH: 40.69 CAD via GOOGLEFINANCE</t>
  </si>
  <si>
    <t>{"date":"2025-08-20T04:00:00.000Z","netWorth":16629.45758016}</t>
  </si>
  <si>
    <t>Updated BTC: 50.32 CAD via GOOGLEFINANCE</t>
  </si>
  <si>
    <t>Updated ETH: 40.52 CAD via GOOGLEFINANCE</t>
  </si>
  <si>
    <t>Updated BTC: 50.31 CAD via GOOGLEFINANCE</t>
  </si>
  <si>
    <t>Updated BTC: 50.61 CAD via GOOGLEFINANCE</t>
  </si>
  <si>
    <t>Updated ETH: 40.96 CAD via GOOGLEFINANCE</t>
  </si>
  <si>
    <t>Updated SOL: 1.86 CAD via GOOGLEFINANCE</t>
  </si>
  <si>
    <t>{"date":"2025-08-20T04:00:00.000Z","netWorth":16629.459198919998}</t>
  </si>
  <si>
    <t>Updated BTC: 50.62 CAD via GOOGLEFINANCE</t>
  </si>
  <si>
    <t>{"date":"2025-08-20T04:00:00.000Z","netWorth":16629.45920068}</t>
  </si>
  <si>
    <t>Updated SHIB-USD: 12.11 CAD via ManualCell</t>
  </si>
  <si>
    <t>Updated SHIB-USD: 0.000001748 CAD via ManualCell</t>
  </si>
  <si>
    <t>Updated SOL.TO: 0 CAD via GOOGLEFINANCE</t>
  </si>
  <si>
    <t>Finance Automation V9 menu loaded successfully</t>
  </si>
  <si>
    <t>All sheets ensured successfully</t>
  </si>
  <si>
    <t>Processing 7 holdings entries</t>
  </si>
  <si>
    <t>Updated BTC: 0.000176 × $50.620000 = $0.01 (Existing Value)</t>
  </si>
  <si>
    <t>Updated DOT: 1.965126 × $2.000000 = $3.93 (Existing Value)</t>
  </si>
  <si>
    <t>Updated ETH: 0.006272 × $40.960000 = $0.26 (Existing Value)</t>
  </si>
  <si>
    <t>Updated SHIB-USD: 693146.684119 × $0.000002 = $1.21 (Existing Value)</t>
  </si>
  <si>
    <t>WARNING</t>
  </si>
  <si>
    <t>Failed to get valid price for SOL.TO</t>
  </si>
  <si>
    <t>Updated VCE.TO: 20.0121 × $60.780000 = $1216.34 (API Fetch)</t>
  </si>
  <si>
    <t>Updated XEQT.TO: 13.541 × $37.200000 = $503.73 (API Fetch)</t>
  </si>
  <si>
    <t>Updated Wealthsimple Crypto balance to $5.41</t>
  </si>
  <si>
    <t>Updated Wealthsimple RRSP balance to $1720.06</t>
  </si>
  <si>
    <t>Holdings update completed:
• 6 holdings updated
• 1 errors encountered
• 2 account balances updated</t>
  </si>
  <si>
    <t>Step 1: Repairing missing columns...</t>
  </si>
  <si>
    <t>Added Type column header to Accounts</t>
  </si>
  <si>
    <t>Set account types for 6 existing accounts</t>
  </si>
  <si>
    <t>Data repair completed: 7 items fixed</t>
  </si>
  <si>
    <t>Step 2: Cleaning empty categories...</t>
  </si>
  <si>
    <t>Cleaned up 28 empty/invalid category mappings</t>
  </si>
  <si>
    <t>Step 3: Updating holdings and balances...</t>
  </si>
  <si>
    <t>Updated VCE.TO: 20.0121 × $60.780000 = $1216.34 (Existing Value)</t>
  </si>
  <si>
    <t>Updated XEQT.TO: 13.541 × $37.200000 = $503.73 (Existing Value)</t>
  </si>
  <si>
    <t>Step 4: Applying formatting...</t>
  </si>
  <si>
    <t>Data repair completed: 0 items fixed</t>
  </si>
  <si>
    <t>No categories to clean up</t>
  </si>
  <si>
    <t>Starting quick setup...</t>
  </si>
  <si>
    <t>Quick setup failed</t>
  </si>
  <si>
    <t>{"error":"_setupInitialSheets is not defined"}</t>
  </si>
  <si>
    <t>Updated PC Financial balance: 14979.17 → 15168.17</t>
  </si>
  <si>
    <t>Committed transaction: 198c3da6c178ad8d</t>
  </si>
  <si>
    <t>{"amount":189,"from":"e-Transfer from you.","to":"PC Financial","type":"Interac"}</t>
  </si>
  <si>
    <t>Processed email: Interac</t>
  </si>
  <si>
    <t>{"emailId":"198c3da6c178ad8d","amount":189}</t>
  </si>
  <si>
    <t>Updated PC Financial balance: 15168.17 → 15188.17</t>
  </si>
  <si>
    <t>Committed transaction: 198ae758106503cd</t>
  </si>
  <si>
    <t>{"amount":20,"from":"e-Transfer from you.","to":"PC Financial","type":"Interac"}</t>
  </si>
  <si>
    <t>{"emailId":"198ae758106503cd","amount":20}</t>
  </si>
  <si>
    <t>{"processed":2,"staged":0,"total":2}</t>
  </si>
  <si>
    <t>Step 2: Pairing staged transfers...</t>
  </si>
  <si>
    <t>Step 3: Cleaning up stale transactions...</t>
  </si>
  <si>
    <t>Step 4: Refreshing holdings prices...</t>
  </si>
  <si>
    <t>Failed to refresh holdings data</t>
  </si>
  <si>
    <t>{"error":"The parameters (number,null) don't match the method signature for SpreadsheetApp.Sheet.getRange."}</t>
  </si>
  <si>
    <t>Step 5: Updating dashboard...</t>
  </si>
  <si>
    <t>Failed to get transaction data</t>
  </si>
  <si>
    <t>{"error":"Cannot convert undefined or null to object"}</t>
  </si>
  <si>
    <t>Dashboard updated successfully</t>
  </si>
  <si>
    <t>{"totalExpenses":0,"portfolioValue":0}</t>
  </si>
  <si>
    <t>{"operations":5,"duration":"15.86s","timestamp":"2025-08-20T21:54:17.431Z"}</t>
  </si>
  <si>
    <t>{"operations":5,"duration":"7.237s","timestamp":"2025-08-20T21:56:16.721Z"}</t>
  </si>
  <si>
    <t>Set Google Finance formula for Wealthsimple Crypto: =IFERROR(GOOGLEFINANCE("WEALTHSIMPLECRYPTO","price"),0)</t>
  </si>
  <si>
    <t>Set Google Finance formula for Wealthsimple RRSP: =IFERROR(GOOGLEFINANCE("WEALTHSIMPLERRSP","price"),0)</t>
  </si>
  <si>
    <t>Holdings refresh completed: 0 holdings updated</t>
  </si>
  <si>
    <t>{"totalExpenses":1384.53,"portfolioValue":191.560001748}</t>
  </si>
  <si>
    <t>{"operations":5,"duration":"12.883s","timestamp":"2025-08-20T22:03:11.475Z"}</t>
  </si>
  <si>
    <t>Category learning completed: no new mappings needed</t>
  </si>
  <si>
    <t>{"operations":5,"duration":"13.561s","timestamp":"2025-08-20T22:07:37.327Z"}</t>
  </si>
  <si>
    <t>Setting up sheets manually...</t>
  </si>
  <si>
    <t>Manual sheet setup completed successfully</t>
  </si>
  <si>
    <t>Holdings sheet already contains data - preserving existing data</t>
  </si>
  <si>
    <t>SHIB-USD price: $0.00000000</t>
  </si>
  <si>
    <t>{"totalExpenses":1384.53,"portfolioValue":0}</t>
  </si>
  <si>
    <t>{"operations":5,"duration":"10.664s","timestamp":"2025-08-20T22:57:27.123Z"}</t>
  </si>
  <si>
    <t>Set Google Finance formula for BTC: =IFERROR(GOOGLEFINANCE("BTC","price"),0)</t>
  </si>
  <si>
    <t>Set Google Finance formula for DOT: =IFERROR(GOOGLEFINANCE("DOT","price"),0)</t>
  </si>
  <si>
    <t>Set Google Finance formula for ETH: =IFERROR(GOOGLEFINANCE("ETH","price"),0)</t>
  </si>
  <si>
    <t>Set Google Finance formula for SHIB: =IFERROR(GOOGLEFINANCE("SHIB","price"),0)</t>
  </si>
  <si>
    <t>Set Google Finance formula for SOL: =IFERROR(GOOGLEFINANCE("SOL","price"),0)</t>
  </si>
  <si>
    <t>Set Google Finance formula for VCE: =IFERROR(GOOGLEFINANCE("VCE","price"),0)</t>
  </si>
  <si>
    <t>Set Google Finance formula for XEQT: =IFERROR(GOOGLEFINANCE("XEQT","price"),0)</t>
  </si>
  <si>
    <t>CoinGecko API error for SHIB: 429</t>
  </si>
  <si>
    <t>CoinGecko API error for BTC: 429</t>
  </si>
  <si>
    <t>CoinGecko API error for DOT: 429</t>
  </si>
  <si>
    <t>CoinGecko API error for ETH: 429</t>
  </si>
  <si>
    <t>CoinGecko API error for SOL: 429</t>
  </si>
  <si>
    <t>Updated VCE: 20.0121 shares @ $60.780000 = $1216.34 (Account: Wealthsimple RRSP)</t>
  </si>
  <si>
    <t>Updated XEQT: 13.541 shares @ $37.200000 = $503.73 (Account: Wealthsimple RRSP)</t>
  </si>
  <si>
    <t>Holdings refresh completed: 2 holdings updated</t>
  </si>
  <si>
    <t>BTC price: $0.00000000 CAD</t>
  </si>
  <si>
    <t>ETH price: $0.00000000 CAD</t>
  </si>
  <si>
    <t>SOL price: $0.00000000 CAD</t>
  </si>
  <si>
    <t>DOT price: $0.00000000 CAD</t>
  </si>
  <si>
    <t>SHIB price: $0.00000000 CAD</t>
  </si>
  <si>
    <t>VCE price: $60.78 CAD</t>
  </si>
  <si>
    <t>XEQT price: $37.20 CAD</t>
  </si>
  <si>
    <t>Manually set BTC: 0.000176 × $89500 = $15.75</t>
  </si>
  <si>
    <t>Manually set DOT: 1.965129 × $7.25 = $14.25</t>
  </si>
  <si>
    <t>Manually set ETH: 0.006272 × $4200 = $26.34</t>
  </si>
  <si>
    <t>SHIB special formatting: 693,136.684 shares × $0.00003200 = $22.18</t>
  </si>
  <si>
    <t>Manually set SHIB: 693136.684119 × $0.000032 = $22.18</t>
  </si>
  <si>
    <t>Manually set SOL: 0.009404 × $195 = $1.83</t>
  </si>
  <si>
    <t>Manually set VCE: 20.0121 × $60.78 = $1216.34</t>
  </si>
  <si>
    <t>Manually set XEQT: 13.541 × $37.2 = $503.73</t>
  </si>
  <si>
    <t>{"totalExpenses":1384.53,"portfolioValue":94000.23003199999}</t>
  </si>
  <si>
    <t>All price sources failed for BTC</t>
  </si>
  <si>
    <t>All price sources failed for DOT</t>
  </si>
  <si>
    <t>All price sources failed for ETH</t>
  </si>
  <si>
    <t>All price sources failed for SHIB</t>
  </si>
  <si>
    <t>All price sources failed for SOL</t>
  </si>
  <si>
    <t>{"totalExpenses":1384.53,"portfolioValue":193.42000000000002}</t>
  </si>
  <si>
    <t>{"operations":5,"duration":"14.982s","timestamp":"2025-08-20T23:33:47.575Z"}</t>
  </si>
  <si>
    <t>SHIB API price: $0.00000000 CAD
Manual calculation:
693,136.684 shares
× $0.00003200 CAD
= $22.18 CAD
Expected: ~$22.18 CAD</t>
  </si>
  <si>
    <t>--- Testing SHIB (with 5 second delay to avoid rate limits) ---</t>
  </si>
  <si>
    <t>Attempting CoinCap API for SHIB: https://api.coincap.io/v2/assets/shiba-inu</t>
  </si>
  <si>
    <t>CoinCap response code for SHIB: 404</t>
  </si>
  <si>
    <t>CoinCap API error for SHIB: 404</t>
  </si>
  <si>
    <t>Attempting CoinGecko API for SHIB: https://api.coingecko.com/api/v3/simple/price?ids=shiba-inu&amp;vs_currencies=cad&amp;precision=8</t>
  </si>
  <si>
    <t>CoinGecko response code for SHIB: 429</t>
  </si>
  <si>
    <t>CoinGecko rate limited for SHIB - this is expected with free tier</t>
  </si>
  <si>
    <t>Attempting CryptoCompare API for SHIB: https://min-api.cryptocompare.com/data/price?fsym=SHIB&amp;tsyms=CAD</t>
  </si>
  <si>
    <t>CryptoCompare response code for SHIB: 200</t>
  </si>
  <si>
    <t>CryptoCompare raw response for SHIB: {"Response":"Error","Message":"Please use an API key for your calls. To get an API key, go to https://www.cryptocompare.com/cryptopian/api-keys register, create a key and add it to your requests as either ? or &amp;api_key=&lt;generated key&gt;.","HasWarning":false,"Type":99,"RateLimit":{},"Data":{},"Cooldown":419}</t>
  </si>
  <si>
    <t>CryptoCompare returned invalid price data for SHIB</t>
  </si>
  <si>
    <t>❌ All price sources failed for SHIB - all APIs unavailable</t>
  </si>
  <si>
    <t>❌ SHIB: Failed to fetch price</t>
  </si>
  <si>
    <t>Waiting 5 seconds before next crypto...</t>
  </si>
  <si>
    <t>--- Testing BTC (with 5 second delay to avoid rate limits) ---</t>
  </si>
  <si>
    <t>Attempting CoinCap API for BTC: https://api.coincap.io/v2/assets/bitcoin</t>
  </si>
  <si>
    <t>CoinCap response code for BTC: 404</t>
  </si>
  <si>
    <t>CoinCap API error for BTC: 404</t>
  </si>
  <si>
    <t>Attempting CoinGecko API for BTC: https://api.coingecko.com/api/v3/simple/price?ids=bitcoin&amp;vs_currencies=cad&amp;precision=8</t>
  </si>
  <si>
    <t>CoinGecko response code for BTC: 429</t>
  </si>
  <si>
    <t>CoinGecko rate limited for BTC - this is expected with free tier</t>
  </si>
  <si>
    <t>Attempting CryptoCompare API for BTC: https://min-api.cryptocompare.com/data/price?fsym=BTC&amp;tsyms=CAD</t>
  </si>
  <si>
    <t>CryptoCompare response code for BTC: 200</t>
  </si>
  <si>
    <t>CryptoCompare raw response for BTC: {"Response":"Error","Message":"Please use an API key for your calls. To get an API key, go to https://www.cryptocompare.com/cryptopian/api-keys register, create a key and add it to your requests as either ? or &amp;api_key=&lt;generated key&gt;.","HasWarning":false,"Type":99,"RateLimit":{},"Data":{},"Cooldown":264}</t>
  </si>
  <si>
    <t>CryptoCompare returned invalid price data for BTC</t>
  </si>
  <si>
    <t>❌ All price sources failed for BTC - all APIs unavailable</t>
  </si>
  <si>
    <t>❌ BTC: Failed to fetch price</t>
  </si>
  <si>
    <t>SHIB: FAILED</t>
  </si>
  <si>
    <t>BTC: FAILED</t>
  </si>
  <si>
    <t>Starting enhanced category learning process...</t>
  </si>
  <si>
    <t>Categorized as investment (confidence: 0.98)</t>
  </si>
  <si>
    <t>Applied new category mappings to 3 existing transactions</t>
  </si>
  <si>
    <t>Enhanced category learning completed: no new mappings needed</t>
  </si>
  <si>
    <t>Parsing email from pcfinancial (confidence: high)</t>
  </si>
  <si>
    <t>{"emailId":"198b99ac8af02059","from":"PC Financial &lt;info@account.pcfinancial.ca&gt;","subject":"Jeremiah, a card on your PC Financial® account has"}</t>
  </si>
  <si>
    <t>No transaction extracted from email</t>
  </si>
  <si>
    <t>{"emailId":"198b99ab88c0ac37","from":"PC Financial &lt;info@account.pcfinancial.ca&gt;","subject":"Jeremiah, we’ve processed your request to change y"}</t>
  </si>
  <si>
    <t>Parsing email from cibc (confidence: high)</t>
  </si>
  <si>
    <t>{"emailId":"198b22f3c34b48f0","from":"CIBC Banking &lt;mailbox.noreply@cibc.com&gt;","subject":"eStatement Alert"}</t>
  </si>
  <si>
    <t>Enhanced dashboard updated successfully</t>
  </si>
  <si>
    <t>{"totalExpenses":1384.53,"portfolioValue":97.98,"learnedCategories":0}</t>
  </si>
  <si>
    <t>{"operations":5,"duration":"11.369s","timestamp":"2025-08-21T00:44:56.988Z"}</t>
  </si>
  <si>
    <t>Email parsing test failed</t>
  </si>
  <si>
    <t>{"error":"_parseEmailContent is not defined"}</t>
  </si>
  <si>
    <t>{"emailId":"198c885115a192d3","from":"CIBC Banking &lt;Mailbox.noreply@cibc.com&gt;","subject":"New purchase return on your credit card"}</t>
  </si>
  <si>
    <t>{"error":"_enhanceMerchantName is not defined"}</t>
  </si>
  <si>
    <t>Processing 21 email threads</t>
  </si>
  <si>
    <t>Parsing email from unknown (confidence: none)</t>
  </si>
  <si>
    <t>{"emailId":"198c88577439d0d6","from":"\"service@intl.paypal.com\" &lt;service@intl.paypal.com&gt;","subject":"You authorized a payment to GitHub, Inc."}</t>
  </si>
  <si>
    <t>Unknown sender - using fallback parsing</t>
  </si>
  <si>
    <t>{"from":"\"service@intl.paypal.com\" &lt;service@intl.paypal.com&gt;"}</t>
  </si>
  <si>
    <t>Failed to process email 198c88577439d0d6</t>
  </si>
  <si>
    <t>{"error":"_parseFallbackEmail is not defined"}</t>
  </si>
  <si>
    <t>{"operations":5,"duration":"13.011s","timestamp":"2025-08-21T01:02:38.881Z"}</t>
  </si>
  <si>
    <t>Parsing email from paypal (confidence: high)</t>
  </si>
  <si>
    <t>{"error":"_parsePayPalEmailEnhanced is not defined"}</t>
  </si>
  <si>
    <t>{"operations":5,"duration":"14.22s","timestamp":"2025-08-21T01:09:01.172Z"}</t>
  </si>
  <si>
    <t>Total rows in main sheet: 19</t>
  </si>
  <si>
    <t>Diagnostic analysis completed</t>
  </si>
  <si>
    <t>Updated CIBC Aventura balance: -70.55 → -56.10</t>
  </si>
  <si>
    <t>{"amount":14.45,"from":"PAYPAL GITHUB INC","to":"CIBC Aventura","type":"Card Credit/Refund","category":"Uncategorized"}</t>
  </si>
  <si>
    <t>Processed email: Card Credit/Refund</t>
  </si>
  <si>
    <t>{"emailId":"198c885115a192d3","amount":14.45}</t>
  </si>
  <si>
    <t>{"totalExpenses":1370.08,"portfolioValue":97.98,"learnedCategories":0}</t>
  </si>
  <si>
    <t>{"operations":5,"duration":"15.305s","timestamp":"2025-08-21T01:11:12.005Z"}</t>
  </si>
  <si>
    <t>Identifying sender</t>
  </si>
  <si>
    <t>{"from":"\"service@intl.paypal.com\" &lt;service@intl.paypal.com&gt;","subject":"You authorized a payment to GitHub, Inc.","bodyPreview":" You authorized a payment to GitHub, Inc. Jeremiah Streiffer, thanks for \nusing PayPal. \n[image: Pay"}</t>
  </si>
  <si>
    <t>{"error":"domain is not defined"}</t>
  </si>
  <si>
    <t>{"from":"PC Financial &lt;info@account.pcfinancial.ca&gt;","subject":"Jeremiah, a card on your PC Financial® account has been activated.","bodyPreview":"͏‌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</si>
  <si>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{"from":"PC Financial &lt;info@account.pcfinancial.ca&gt;","subject":"Jeremiah, we’ve processed your request to change your PIN","bodyPreview":"͏‌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</si>
  <si>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{"from":"CIBC Banking &lt;mailbox.noreply@cibc.com&gt;","subject":"eStatement Alert","bodyPreview":"\n[image: CIBC Logo.] \nHi Jeremiah Streiffer, \nYour eStatement for the current month for your CIBC cr"}</t>
  </si>
  <si>
    <t>{"operations":5,"duration":"17.025s","timestamp":"2025-08-21T01:16:15.198Z"}</t>
  </si>
  <si>
    <t>Setting up initial sheets...</t>
  </si>
  <si>
    <t>Sheet Transactions already has headers - preserving existing data</t>
  </si>
  <si>
    <t>Sheet Staging already has headers - preserving existing data</t>
  </si>
  <si>
    <t>Sheet Accounts already has headers - preserving existing data</t>
  </si>
  <si>
    <t>Sheet Holdings already has headers - preserving existing data</t>
  </si>
  <si>
    <t>Sheet Categories already has headers - preserving existing data</t>
  </si>
  <si>
    <t>Sheet Dashboard already has headers - preserving existing data</t>
  </si>
  <si>
    <t>Created new sheet: undefined</t>
  </si>
  <si>
    <t>Set headers for new sheet: undefined</t>
  </si>
  <si>
    <t>Set headers for existing empty sheet: CSV_Import</t>
  </si>
  <si>
    <t>Sheet AuditLog already has headers - preserving existing data</t>
  </si>
  <si>
    <t>Created new sheet: Learning_Hub</t>
  </si>
  <si>
    <t>Set headers for new sheet: Learning_Hub</t>
  </si>
  <si>
    <t>Created new sheet: Failed_Parsing</t>
  </si>
  <si>
    <t>Set headers for new sheet: Failed_Parsing</t>
  </si>
  <si>
    <t>Processing 21 email threads with query: label:Transfers newer_than:7d</t>
  </si>
  <si>
    <t>Processing email</t>
  </si>
  <si>
    <t>{"emailId":"198c88577439d0d6","from":"\"service@intl.paypal.com\" &lt;service@intl.paypal.com&gt;","subject":"You authorized a payment to GitHub, Inc.","isPayPalEmail":true}</t>
  </si>
  <si>
    <t>Sheet undefined already has headers - preserving existing data</t>
  </si>
  <si>
    <t>Sheet CSV_Import already has headers - preserving existing data</t>
  </si>
  <si>
    <t>Sheet Learning_Hub already has headers - preserving existing data</t>
  </si>
  <si>
    <t>Sheet Failed_Parsing already has headers - preserving existing data</t>
  </si>
  <si>
    <t>{"emailId":"198b99ac8af02059","from":"PC Financial &lt;info@account.pcfinancial.ca&gt;","subject":"Jeremiah, a card on your PC Financial® account has been activated.","isPayPalEmail":false}</t>
  </si>
  <si>
    <t>{"emailId":"198b99ab88c0ac37","from":"PC Financial &lt;info@account.pcfinancial.ca&gt;","subject":"Jeremiah, we’ve processed your request to change your PIN","isPayPalEmail":false}</t>
  </si>
  <si>
    <t>{"emailId":"198b22f3c34b48f0","from":"CIBC Banking &lt;mailbox.noreply@cibc.com&gt;","subject":"eStatement Alert","isPayPalEmail":false}</t>
  </si>
  <si>
    <t>{"operations":5,"duration":"124.791s","timestamp":"2025-08-21T01:52:13.925Z"}</t>
  </si>
  <si>
    <t>{"operations":5,"duration":"91.362s","timestamp":"2025-08-21T01:52:32.241Z"}</t>
  </si>
  <si>
    <t>{"operations":5,"duration":"77.325s","timestamp":"2025-08-21T02:26:52.115Z"}</t>
  </si>
  <si>
    <t>Processing 22 email threads with query: label:Transfers newer_than:7d</t>
  </si>
  <si>
    <t>{"emailId":"198cacde1d3d03d1","from":"PC Financial &lt;info@account.pcfinancial.ca&gt;","subject":"PC Money™ Account purchase notice","isPayPalEmail":false}</t>
  </si>
  <si>
    <t>{"from":"PC Financial &lt;info@account.pcfinancial.ca&gt;","subject":"PC Money™ Account purchase notice","bodyPreview":"͏‌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</si>
  <si>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{"emailId":"198cacde1d3d03d1","from":"PC Financial &lt;info@account.pcfinancial.ca&gt;","subject":"PC Money™ Account purchase notice"}</t>
  </si>
  <si>
    <t>{"emailId":"198cacddf286dd25","from":"PC Financial &lt;info@account.pcfinancial.ca&gt;","subject":"Your PC Money™ Account balance is below  $100.00","isPayPalEmail":false}</t>
  </si>
  <si>
    <t>{"from":"PC Financial &lt;info@account.pcfinancial.ca&gt;","subject":"Your PC Money™ Account balance is below  $100.00","bodyPreview":"͏‌ ͏‌ ͏‌ ͏‌ ͏‌ ͏‌ ͏‌ ͏‌ ͏‌ ͏‌ ͏‌ ͏‌ ͏‌ ͏‌ ͏‌ ͏‌ ͏‌ ͏‌ ͏‌ ͏‌ ͏‌ ͏‌ ͏‌ ͏‌ ͏‌ ͏‌ ͏‌ ͏‌ ͏‌ ͏‌ ͏‌ ͏‌ ͏‌ ͏"}</t>
  </si>
  <si>
    <t>{"emailId":"198cacddf286dd25","from":"PC Financial &lt;info@account.pcfinancial.ca&gt;","subject":"Your PC Money™ Account balance is below  $100.00"}</t>
  </si>
  <si>
    <t>Updating net worth calculation...</t>
  </si>
  <si>
    <t>NetWorthHistory sheet not found</t>
  </si>
  <si>
    <t>{"operations":5,"duration":"124.027s","timestamp":"2025-08-21T04:38:21.718Z"}</t>
  </si>
  <si>
    <t>Net worth updated in dashboard: $37144.38</t>
  </si>
  <si>
    <t>{"cash":"33760.36","investments":"3440.12","liabilities":"56.10"}</t>
  </si>
  <si>
    <t>{"error":"Invalid argument: blob"}</t>
  </si>
  <si>
    <t>{"error":"Failed to extract text from PDF"}</t>
  </si>
  <si>
    <t>{"operations":5,"duration":"113.377s","timestamp":"2025-08-21T05:35:21.636Z"}</t>
  </si>
  <si>
    <t>Test 1: Historical merchant mappings loaded</t>
  </si>
  <si>
    <t>{"mappingCount":15,"dynamicRuleCount":3}</t>
  </si>
  <si>
    <t>Test 2: Merchant extraction</t>
  </si>
  <si>
    <t>"UBER EATS - Toronto" -&gt; "uber eats"</t>
  </si>
  <si>
    <t>"AMAZON.CA - Purchase #123" -&gt; "amazon"</t>
  </si>
  <si>
    <t>"TIM HORTONS #1234" -&gt; "tim hortons"</t>
  </si>
  <si>
    <t>"INTERAC e-Transfer" -&gt; "interac e"</t>
  </si>
  <si>
    <t>Test 3: Context extraction</t>
  </si>
  <si>
    <t>{"keywords":["eats","food","uber"],"timeContext":{"hour":1,"dayOfWeek":4,"isWeekend":false,"isBusinessHours":false},"amount":25.5}</t>
  </si>
  <si>
    <t>Test 4: Dynamic categorization</t>
  </si>
  <si>
    <t>{"category":"Food &amp; Dining","confidence":0.95,"reason":"Dynamic context match: eats","rule":"dynamic_context"}</t>
  </si>
  <si>
    <t>Test 5: Historical mapping</t>
  </si>
  <si>
    <t>{"category":"Contributions","confidence":1,"transactionCount":89}</t>
  </si>
  <si>
    <t>Categorizing with historical data</t>
  </si>
  <si>
    <t>{"merchant":"uber eats","description":"uber eats - food delivery"}</t>
  </si>
  <si>
    <t>Applied dynamic categorization</t>
  </si>
  <si>
    <t>Test 6: Full categorization</t>
  </si>
  <si>
    <t>{"category":"Food &amp; Dining","confidence":0.95,"reason":"Dynamic context match: eats","source":"dynamic_historical"}</t>
  </si>
  <si>
    <t>System health check completed for integration</t>
  </si>
  <si>
    <t>{"timestamp":"2025-08-21T05:36:57.088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</t>
  </si>
  <si>
    <t>Test 7: Integration status</t>
  </si>
  <si>
    <t>{"timestamp":"2025-08-21T05:36:57.088Z","version":"v10","integrationActive":true,"lastHealthCheck":{"timestamp":"2025-08-21T05:36:57.088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failing"],"recommendations":[]},"supportedIntegrations":["troubleshooting-analysis","excel-analyzer","system-status-monitoring","external-fix-application","historical-data-categorization"]}</t>
  </si>
  <si>
    <t>{"timestamp":"2025-08-21T05:42:12.646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</t>
  </si>
  <si>
    <t>{"timestamp":"2025-08-21T05:42:12.645Z","version":"v10","integrationActive":true,"lastHealthCheck":{"timestamp":"2025-08-21T05:42:12.646Z","version":"v10","components":{"spreadsheet":true,"mainSheet":true,"configSheet":false,"categoriesSheet":true,"learningSheet":false},"dataMetrics":{"totalTransactions":18,"recentTransactions":17,"categorizedTransactions":18,"duplicateTransactions":0},"systemStatus":"CRITICAL","issues":["Multiple system components are failing"],"recommendations":[]},"supportedIntegrations":["troubleshooting-analysis","excel-analyzer","system-status-monitoring","external-fix-application","historical-data-categorization"]}</t>
  </si>
  <si>
    <t>{"operations":5,"duration":"143.895s","timestamp":"2025-08-21T05:42:41.638Z"}</t>
  </si>
  <si>
    <t>Domain match found: pcfinancial</t>
  </si>
  <si>
    <t>{"domain":"pcfinancial.ca","confidence":"high"}</t>
  </si>
  <si>
    <t>{"error":"useHistoricalCategorization is not defined","stack":"ReferenceError: useHistoricalCategorization is not defined\n    at _commitTransaction (Code:4481:5)\n    at Code:4331:13\n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__GS_INTERNAL_top_function_call__.gs:1:8","errorType":"UNDEFINED_VARIABLE","transaction":{"date":"2025-08-21T04:05:46.000Z","amount":-35,"direction":"OUT","fromAccount":"PC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</si>
  <si>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Processed email: Purchase</t>
  </si>
  <si>
    <t>{"emailId":"198cacde1d3d03d1","amount":-35}</t>
  </si>
  <si>
    <t>Learning pattern parsing failed</t>
  </si>
  <si>
    <t>{"error":"pattern[2].replace is not a function","stack":"TypeError: pattern[2].replace is not a function\n    at _tryLearnedPatterns (Code:3194:60)\n    at _parseEmailWithAdaptiveLearning (Code:3136:19)\n    at Code:4308:25\n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__GS_INTERNAL_top_function_call__.gs:1:8","errorType":"APPLICATION_ERROR"}</t>
  </si>
  <si>
    <t>Domain match found: paypal</t>
  </si>
  <si>
    <t>{"domain":"paypal.com","confidence":"high"}</t>
  </si>
  <si>
    <t>PayPal parser started</t>
  </si>
  <si>
    <t>{"subject":"You authorized a payment to GitHub, Inc.","bodyPreview":" You authorized a payment to GitHub, Inc. Jeremiah Streiffer, thanks for \nusing PayPal. \n[image: PayPal] \nHello, Jeremiah Streiffer \n\nYou authorized US$10.00 to GitHub, Inc.\nMerchant GitHub, Inc.\nsupp","fromAddress":"\"service@intl.paypal.com\" &lt;service@intl.paypal.com&gt;"}</t>
  </si>
  <si>
    <t>PayPal authorization check</t>
  </si>
  <si>
    <t>{"authKeywords":["you authorized","authorization","authorized payment"],"subjectMatches":["you authorized"],"bodyMatches":["you authorized","authorization"]}</t>
  </si>
  <si>
    <t>PayPal authorization detected!</t>
  </si>
  <si>
    <t>PayPal amount extraction</t>
  </si>
  <si>
    <t>{"usdMatch":"10.00","cadMatch":"14.45","bodySegment":" You authorized a payment to GitHub, Inc. Jeremiah Streiffer, thanks for \nusing PayPal. \n[image: PayPal] \nHello, Jeremiah Streiffer \n\nYou authorized US$10.00 to GitHub, Inc.\nMerchant GitHub, Inc.\nsupport@github.com\n+1 415-448-6673 \nTransaction date Aug 20, 2025 \n------------------------------\nSubtot"}</t>
  </si>
  <si>
    <t>{"error":"useHistoricalCategorization is not defined","stack":"ReferenceError: useHistoricalCategorization is not defined\n    at _commitTransaction (Code:4481:5)\n    at Code:4331:13\n    at Array.forEach (&lt;anonymous&gt;)\n    at Code:4287:28\n    at Array.forEach (&lt;anonymous&gt;)\n    at _processNewEmails (Code:4286:13)\n    at processNewEmails (Code:6627:10)\n    at runFullAutomation (Code:6337:5)\n    at __GS_INTERNAL_top_function_call__.gs:1:8","errorType":"UNDEFINED_VARIABLE","transaction":{"date":"2025-08-20T17:27:26.000Z","amount":-14.45,"direction":"OUT","fromAccount":"CIBC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</si>
  <si>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Processed email: PayPal Payment</t>
  </si>
  <si>
    <t>{"emailId":"198c88577439d0d6","amount":-14.45}</t>
  </si>
  <si>
    <t>Domain match found: cibc</t>
  </si>
  <si>
    <t>{"domain":"cibc.com","confidence":"high"}</t>
  </si>
  <si>
    <t>Sorted 18 transactions by date (most recent first)</t>
  </si>
  <si>
    <t>{"operations":5,"duration":"107.303s","timestamp":"2025-08-21T06:53:51.747Z"}</t>
  </si>
  <si>
    <t>{"error":"Invalid argument: blob","stack":"Exception: Invalid argument: blob\n    at _extractTextFromPDF (Code:413:30)\n    at processPDFStatement (Code:343:21)\n    at __GS_INTERNAL_top_function_call__.gs:1:8","errorType":"APPLICATION_ERROR"}</t>
  </si>
  <si>
    <t>{"error":"Failed to extract text from PDF","stack":"Error: Failed to extract text from PDF\n    at processPDFStatement (Code:345:13)\n    at __GS_INTERNAL_top_function_call__.gs:1:8","errorType":"APPLICATION_ERROR"}</t>
  </si>
  <si>
    <t>{"operations":5,"duration":"93.504s","timestamp":"2025-08-21T07:09:13.542Z"}</t>
  </si>
  <si>
    <t>Starting consolidated diagnostic analysis...</t>
  </si>
  <si>
    <t>Starting unified diagnostic consolidation...</t>
  </si>
  <si>
    <t>Excel Analyzer output created successfully</t>
  </si>
  <si>
    <t>Diagnostic consolidation complete</t>
  </si>
  <si>
    <t>Analysis complete. System Health: CRITICAL</t>
  </si>
  <si>
    <t>Total Errors: 190, Critical Issues: 3</t>
  </si>
  <si>
    <t>Processing 23 email threads with query: label:Transfers newer_than:7d</t>
  </si>
  <si>
    <t>{"emailId":"198cb916e7a56f8c","from":"CIBC Banking &lt;Mailbox.noreply@cibc.com&gt;","subject":"New payment to your credit card","isPayPalEmail":false}</t>
  </si>
  <si>
    <t>{"from":"CIBC Banking &lt;Mailbox.noreply@cibc.com&gt;","subject":"New payment to your credit card","bodyPreview":"\n\nDear Jeremiah, \n\nYou've recently received a $215.32 payment to your CIBC Aventura Visa \nInfinite C"}</t>
  </si>
  <si>
    <t>{"emailId":"198cb916e7a56f8c","from":"CIBC Banking &lt;Mailbox.noreply@cibc.com&gt;","subject":"New payment to your credit card"}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</si>
  <si>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__GS_INTERNAL_top_function_call__.gs:1:8","errorType":"UNDEFINED_VARIABLE","transaction":{"date":"2025-08-21T07:39:20.000Z","amount":215.32,"direction":"IN","fromAccount":"credit refund","toAccount":"CIBC Aventura","bank":"CIBC Aventura Credit","emailId":"198cb916e7a56f8c","type":"Card Credit/Refund","notes":"Credit/refund from Credit Refund","senderInfo":{"id":"cibc","merchantInfoQuality":"excellent","accountDetectionMethod":"card_analysis","transactionType":"credit"},"fingerprint":"KqFX3sJhSEBk"}}</t>
  </si>
  <si>
    <t>{"emailId":"198cb916e7a56f8c","amount":215.32}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</si>
  <si>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__GS_INTERNAL_top_function_call__.gs:1:8","errorType":"UNDEFINED_VARIABLE","transaction":{"date":"2025-08-21T04:05:46.000Z","amount":-35,"direction":"OUT","fromAccount":"PC Financial","toAccount":"purchase amount 35 00","bank":"PC Financial Purchase","emailId":"198cacde1d3d03d1","type":"Purchase","notes":"Purchase at Purchase amount 35 00","senderInfo":{"id":"pcfinancial","merchantInfoQuality":"good","extractedMerchant":"Purchase amount 35 00"},"fingerprint":"Nwtp/pYik1X8"}}</t>
  </si>
  <si>
    <t>{"error":"pattern[2].replace is not a function","stack":"TypeError: pattern[2].replace is not a function\n    at _tryLearnedPatterns (Code:3218:60)\n    at _parseEmailWithAdaptiveLearning (Code:3160:19)\n    at Code:4332:25\n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__GS_INTERNAL_top_function_call__.gs:1:8","errorType":"APPLICATION_ERROR"}</t>
  </si>
  <si>
    <t>{"error":"useHistoricalCategorization is not defined","stack":"ReferenceError: useHistoricalCategorization is not defined\n    at _commitTransaction (Code:4505:5)\n    at Code:4355:13\n    at Array.forEach (&lt;anonymous&gt;)\n    at Code:4311:28\n    at Array.forEach (&lt;anonymous&gt;)\n    at _processNewEmails (Code:4310:13)\n    at processNewEmails (Code:6651:10)\n    at runFullAutomation (Code:6361:5)\n    at __GS_INTERNAL_top_function_call__.gs:1:8","errorType":"UNDEFINED_VARIABLE","transaction":{"date":"2025-08-20T17:27:26.000Z","amount":-14.45,"direction":"OUT","fromAccount":"CIBC Aventura","toAccount":"github, inc. jeremiah streiffer, thanks for","bank":"PayPal Authorization","emailId":"198c88577439d0d6","type":"PayPal Payment","notes":"PayPal payment to GitHub, Inc. Jeremiah Streiffer, thanks for (CAD)","senderInfo":{"id":"paypal","merchantInfoQuality":"excellent","linkedPaymentMethod":"CIBC Aventura","currency":"CAD","transactionType":"authorization"},"fingerprint":"HHoBZUoq8xMh"}}</t>
  </si>
  <si>
    <t>{"processed":3,"staged":0,"total":3}</t>
  </si>
  <si>
    <t>Updated VCE: 20.0121 shares @ $60.950000 = $1219.74 (Account: Wealthsimple RRSP)</t>
  </si>
  <si>
    <t>Updated XEQT: 13.541 shares @ $37.180000 = $503.45 (Account: Wealthsimple RRSP)</t>
  </si>
  <si>
    <t>{"totalExpenses":1370.08,"portfolioValue":98.13,"learnedCategories":0}</t>
  </si>
  <si>
    <t>{"operations":5,"duration":"98.02s","timestamp":"2025-08-21T15:22:05.932Z"}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</si>
</sst>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yyyy-mm"/>
    <numFmt numFmtId="166" formatCode="mm/dd/yyyy"/>
    <numFmt numFmtId="167" formatCode="$#,##0.00"/>
    <numFmt numFmtId="168" formatCode="m/d/yyyy h:mm:ss"/>
    <numFmt numFmtId="169" formatCode="$#,##0.00;[Red]-$#,##0.00"/>
    <numFmt numFmtId="170" formatCode="M/d/yyyy h:mm:ss AM/PM"/>
    <numFmt numFmtId="171" formatCode="M/d/yyyy H:mm:ss"/>
    <numFmt numFmtId="172" formatCode="#,##0.00;(#,##0.00)"/>
    <numFmt numFmtId="173" formatCode="M/d/yyyy"/>
  </numFmts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D93025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6F3FF"/>
        <bgColor rgb="FFE6F3FF"/>
      </patternFill>
    </fill>
    <fill>
      <patternFill patternType="solid">
        <fgColor rgb="FF4285F4"/>
        <bgColor rgb="FF4285F4"/>
      </patternFill>
    </fill>
    <fill>
      <patternFill patternType="solid">
        <fgColor rgb="FFE1F5FE"/>
        <bgColor rgb="FFE1F5FE"/>
      </patternFill>
    </fill>
    <fill>
      <patternFill patternType="solid">
        <fgColor rgb="FFF0F0F0"/>
        <bgColor rgb="FFF0F0F0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1" fillId="0" fontId="2" numFmtId="0" xfId="0" applyAlignment="1" applyBorder="1" applyFont="1">
      <alignment horizontal="left" shrinkToFit="0" vertical="center" wrapText="0"/>
    </xf>
    <xf borderId="2" fillId="0" fontId="2" numFmtId="0" xfId="0" applyAlignment="1" applyBorder="1" applyFont="1">
      <alignment horizontal="left" shrinkToFit="0" vertical="center" wrapText="0"/>
    </xf>
    <xf borderId="3" fillId="0" fontId="2" numFmtId="0" xfId="0" applyAlignment="1" applyBorder="1" applyFont="1">
      <alignment horizontal="left"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4" numFmtId="10" xfId="0" applyAlignment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166" xfId="0" applyAlignment="1" applyFont="1" applyNumberFormat="1">
      <alignment readingOrder="0"/>
    </xf>
    <xf borderId="0" fillId="3" fontId="3" numFmtId="167" xfId="0" applyAlignment="1" applyFont="1" applyNumberFormat="1">
      <alignment readingOrder="0"/>
    </xf>
    <xf borderId="0" fillId="0" fontId="2" numFmtId="167" xfId="0" applyFont="1" applyNumberFormat="1"/>
    <xf borderId="0" fillId="4" fontId="6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0" fontId="8" numFmtId="169" xfId="0" applyAlignment="1" applyFont="1" applyNumberFormat="1">
      <alignment readingOrder="0" vertical="bottom"/>
    </xf>
    <xf borderId="0" fillId="0" fontId="8" numFmtId="170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170" xfId="0" applyAlignment="1" applyFont="1" applyNumberFormat="1">
      <alignment vertical="bottom"/>
    </xf>
    <xf borderId="0" fillId="0" fontId="9" numFmtId="49" xfId="0" applyAlignment="1" applyFont="1" applyNumberFormat="1">
      <alignment readingOrder="0" vertical="bottom"/>
    </xf>
    <xf borderId="0" fillId="0" fontId="9" numFmtId="167" xfId="0" applyAlignment="1" applyFont="1" applyNumberFormat="1">
      <alignment vertical="bottom"/>
    </xf>
    <xf borderId="0" fillId="0" fontId="8" numFmtId="167" xfId="0" applyAlignment="1" applyFont="1" applyNumberFormat="1">
      <alignment vertical="bottom"/>
    </xf>
    <xf borderId="0" fillId="0" fontId="2" numFmtId="171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7" xfId="0" applyAlignment="1" applyFont="1" applyNumberFormat="1">
      <alignment readingOrder="0"/>
    </xf>
    <xf borderId="0" fillId="0" fontId="2" numFmtId="171" xfId="0" applyFont="1" applyNumberFormat="1"/>
    <xf borderId="0" fillId="0" fontId="2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6" fontId="7" numFmtId="172" xfId="0" applyAlignment="1" applyFont="1" applyNumberFormat="1">
      <alignment readingOrder="0" vertical="bottom"/>
    </xf>
    <xf borderId="0" fillId="6" fontId="3" numFmtId="164" xfId="0" applyAlignment="1" applyFont="1" applyNumberFormat="1">
      <alignment readingOrder="0"/>
    </xf>
    <xf borderId="0" fillId="0" fontId="8" numFmtId="49" xfId="0" applyAlignment="1" applyFont="1" applyNumberFormat="1">
      <alignment readingOrder="0" vertical="bottom"/>
    </xf>
    <xf borderId="0" fillId="0" fontId="11" numFmtId="49" xfId="0" applyAlignment="1" applyFont="1" applyNumberFormat="1">
      <alignment readingOrder="0" vertical="bottom"/>
    </xf>
    <xf borderId="0" fillId="0" fontId="8" numFmtId="172" xfId="0" applyAlignment="1" applyFont="1" applyNumberFormat="1">
      <alignment horizontal="right" readingOrder="0" vertical="bottom"/>
    </xf>
    <xf borderId="0" fillId="0" fontId="2" numFmtId="14" xfId="0" applyAlignment="1" applyFont="1" applyNumberFormat="1">
      <alignment readingOrder="0"/>
    </xf>
    <xf borderId="0" fillId="0" fontId="8" numFmtId="49" xfId="0" applyAlignment="1" applyFont="1" applyNumberFormat="1">
      <alignment readingOrder="0" vertical="bottom"/>
    </xf>
    <xf borderId="0" fillId="0" fontId="12" numFmtId="49" xfId="0" applyFont="1" applyNumberFormat="1"/>
    <xf borderId="0" fillId="0" fontId="2" numFmtId="172" xfId="0" applyFont="1" applyNumberFormat="1"/>
    <xf borderId="0" fillId="0" fontId="2" numFmtId="164" xfId="0" applyFont="1" applyNumberFormat="1"/>
    <xf borderId="0" fillId="6" fontId="13" numFmtId="0" xfId="0" applyAlignment="1" applyFont="1">
      <alignment horizontal="center" readingOrder="0" shrinkToFit="0" vertical="bottom" wrapText="0"/>
    </xf>
    <xf borderId="0" fillId="6" fontId="13" numFmtId="0" xfId="0" applyAlignment="1" applyFont="1">
      <alignment readingOrder="0" shrinkToFit="0" vertical="bottom" wrapText="0"/>
    </xf>
    <xf borderId="0" fillId="6" fontId="13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Font="1"/>
    <xf borderId="0" fillId="0" fontId="2" numFmtId="17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3" xfId="0" applyFont="1" applyNumberFormat="1"/>
    <xf borderId="0" fillId="0" fontId="2" numFmtId="170" xfId="0" applyFont="1" applyNumberFormat="1"/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D32F2F"/>
      </font>
      <fill>
        <patternFill patternType="solid">
          <fgColor rgb="FFFFEBEE"/>
          <bgColor rgb="FFFFEBEE"/>
        </patternFill>
      </fill>
      <border/>
    </dxf>
    <dxf>
      <font>
        <color rgb="FF388E3C"/>
      </font>
      <fill>
        <patternFill patternType="solid">
          <fgColor rgb="FFE8F5E8"/>
          <bgColor rgb="FFE8F5E8"/>
        </patternFill>
      </fill>
      <border/>
    </dxf>
  </dxfs>
  <tableStyles count="1">
    <tableStyle count="3" pivot="0" name="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Q4:T5" displayName="Table1" name="Table1" id="1">
  <tableColumns count="4">
    <tableColumn name="Column 1" id="1"/>
    <tableColumn name="Column 2" id="2"/>
    <tableColumn name="Column 3" id="3"/>
    <tableColumn name="Column 4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pcfinancial.ca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17" max="17" width="13.5"/>
  </cols>
  <sheetData>
    <row r="1">
      <c r="A1" s="1" t="s">
        <v>0</v>
      </c>
      <c r="B1" s="2"/>
    </row>
    <row r="2">
      <c r="A2" s="3" t="s">
        <v>1</v>
      </c>
      <c r="B2" s="2"/>
      <c r="J2" s="4"/>
      <c r="K2" s="4"/>
    </row>
    <row r="3">
      <c r="B3" s="2"/>
      <c r="J3" s="4"/>
    </row>
    <row r="4">
      <c r="A4" s="5" t="s">
        <v>2</v>
      </c>
      <c r="B4" s="6">
        <v>1370.08</v>
      </c>
      <c r="J4" s="4"/>
      <c r="O4" s="4"/>
      <c r="P4" s="4"/>
      <c r="Q4" s="7" t="s">
        <v>3</v>
      </c>
      <c r="R4" s="8" t="s">
        <v>4</v>
      </c>
      <c r="S4" s="8" t="s">
        <v>5</v>
      </c>
      <c r="T4" s="9" t="s">
        <v>6</v>
      </c>
    </row>
    <row r="5">
      <c r="B5" s="2"/>
      <c r="J5" s="4"/>
      <c r="O5" s="4"/>
      <c r="Q5" s="10"/>
    </row>
    <row r="6">
      <c r="A6" s="5" t="s">
        <v>7</v>
      </c>
      <c r="B6" s="2"/>
      <c r="J6" s="4"/>
      <c r="O6" s="4"/>
    </row>
    <row r="7">
      <c r="A7" s="11" t="s">
        <v>8</v>
      </c>
      <c r="B7" s="12">
        <v>1134.77</v>
      </c>
      <c r="O7" s="4"/>
    </row>
    <row r="8">
      <c r="A8" s="3" t="s">
        <v>9</v>
      </c>
      <c r="B8" s="6">
        <v>136.38</v>
      </c>
      <c r="O8" s="4"/>
    </row>
    <row r="9">
      <c r="A9" s="3" t="s">
        <v>10</v>
      </c>
      <c r="B9" s="6">
        <v>56.1</v>
      </c>
    </row>
    <row r="10">
      <c r="A10" s="3" t="s">
        <v>11</v>
      </c>
      <c r="B10" s="6">
        <v>22.84</v>
      </c>
    </row>
    <row r="11">
      <c r="A11" s="3" t="s">
        <v>12</v>
      </c>
      <c r="B11" s="6">
        <v>19.99</v>
      </c>
    </row>
    <row r="12">
      <c r="A12" s="3"/>
      <c r="B12" s="13"/>
    </row>
    <row r="13">
      <c r="A13" s="5" t="s">
        <v>13</v>
      </c>
      <c r="B13" s="13"/>
    </row>
    <row r="14">
      <c r="A14" s="3" t="s">
        <v>14</v>
      </c>
      <c r="B14" s="6">
        <v>15188.17</v>
      </c>
    </row>
    <row r="15">
      <c r="A15" s="11" t="s">
        <v>15</v>
      </c>
      <c r="B15" s="12">
        <v>-56.1</v>
      </c>
    </row>
    <row r="16">
      <c r="A16" s="3" t="s">
        <v>16</v>
      </c>
      <c r="B16" s="6">
        <v>0.0</v>
      </c>
    </row>
    <row r="17">
      <c r="A17" s="3" t="s">
        <v>17</v>
      </c>
      <c r="B17" s="6">
        <v>1720.06</v>
      </c>
    </row>
    <row r="18">
      <c r="A18" s="3" t="s">
        <v>18</v>
      </c>
      <c r="B18" s="6">
        <v>0.0</v>
      </c>
    </row>
    <row r="19">
      <c r="A19" s="3" t="s">
        <v>19</v>
      </c>
      <c r="B19" s="6">
        <v>16852.13</v>
      </c>
    </row>
    <row r="20">
      <c r="A20" s="5"/>
      <c r="B20" s="6"/>
    </row>
    <row r="21">
      <c r="A21" s="5" t="s">
        <v>20</v>
      </c>
      <c r="B21" s="6">
        <v>98.13</v>
      </c>
    </row>
    <row r="22">
      <c r="A22" s="5"/>
      <c r="B22" s="2"/>
    </row>
    <row r="23">
      <c r="A23" s="5" t="s">
        <v>21</v>
      </c>
      <c r="B23" s="14"/>
    </row>
    <row r="24">
      <c r="A24" s="3" t="s">
        <v>22</v>
      </c>
      <c r="B24" s="14">
        <v>0.0</v>
      </c>
    </row>
    <row r="25">
      <c r="A25" s="3" t="s">
        <v>23</v>
      </c>
      <c r="B25" s="14">
        <v>7.0</v>
      </c>
    </row>
    <row r="26">
      <c r="A26" s="3" t="s">
        <v>24</v>
      </c>
      <c r="B26" s="15">
        <v>11.0</v>
      </c>
    </row>
    <row r="27">
      <c r="A27" s="3" t="s">
        <v>25</v>
      </c>
      <c r="B27" s="15">
        <v>0.389</v>
      </c>
    </row>
    <row r="29">
      <c r="A29" s="16"/>
    </row>
    <row r="30">
      <c r="A30" s="17"/>
      <c r="B30" s="17"/>
      <c r="C30" s="17"/>
      <c r="D30" s="17"/>
      <c r="E30" s="17" t="s">
        <v>26</v>
      </c>
      <c r="F30" s="17" t="s">
        <v>27</v>
      </c>
    </row>
    <row r="31">
      <c r="A31" s="18">
        <v>45890.063021458336</v>
      </c>
      <c r="B31" s="19">
        <v>33760.361275999996</v>
      </c>
      <c r="C31" s="19">
        <v>3440.1212760000003</v>
      </c>
      <c r="D31" s="19">
        <v>56.099999999999994</v>
      </c>
      <c r="E31" s="19">
        <v>37144.382551999995</v>
      </c>
      <c r="F31" s="17" t="s">
        <v>28</v>
      </c>
    </row>
    <row r="41">
      <c r="A41" s="4"/>
    </row>
    <row r="43">
      <c r="A43" s="4"/>
      <c r="B43" s="20"/>
    </row>
    <row r="44">
      <c r="A44" s="4"/>
      <c r="B44" s="20"/>
    </row>
    <row r="45">
      <c r="A45" s="4"/>
      <c r="B45" s="20"/>
    </row>
    <row r="46">
      <c r="A46" s="4"/>
    </row>
  </sheetData>
  <dataValidations>
    <dataValidation type="custom" allowBlank="1" showDropDown="1" sqref="Q5">
      <formula1>OR(NOT(ISERROR(DATEVALUE(Q5))), AND(ISNUMBER(Q5), LEFT(CELL("format", Q5))="D"))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7.88"/>
    <col customWidth="1" min="3" max="3" width="9.5"/>
    <col customWidth="1" min="4" max="4" width="15.38"/>
    <col customWidth="1" min="5" max="5" width="63.13"/>
    <col customWidth="1" min="6" max="6" width="14.63"/>
  </cols>
  <sheetData>
    <row r="1">
      <c r="A1" s="21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2" t="s">
        <v>35</v>
      </c>
      <c r="H1" s="22" t="s">
        <v>36</v>
      </c>
    </row>
    <row r="2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23">
        <v>45890.13791496528</v>
      </c>
    </row>
    <row r="3">
      <c r="A3" s="3" t="s">
        <v>42</v>
      </c>
      <c r="B3" s="24">
        <v>66.0</v>
      </c>
      <c r="C3" s="3" t="s">
        <v>43</v>
      </c>
      <c r="D3" s="3" t="s">
        <v>43</v>
      </c>
      <c r="E3" s="3" t="s">
        <v>44</v>
      </c>
      <c r="F3" s="23">
        <v>45890.13791496528</v>
      </c>
    </row>
    <row r="4">
      <c r="A4" s="3" t="s">
        <v>45</v>
      </c>
      <c r="B4" s="24">
        <v>12.0</v>
      </c>
      <c r="C4" s="3" t="s">
        <v>43</v>
      </c>
      <c r="D4" s="3" t="s">
        <v>43</v>
      </c>
      <c r="E4" s="3" t="s">
        <v>46</v>
      </c>
      <c r="F4" s="23">
        <v>45890.13791496528</v>
      </c>
    </row>
    <row r="5">
      <c r="A5" s="3" t="s">
        <v>47</v>
      </c>
      <c r="B5" s="24">
        <v>44.0</v>
      </c>
      <c r="C5" s="3" t="s">
        <v>43</v>
      </c>
      <c r="D5" s="3" t="s">
        <v>43</v>
      </c>
      <c r="E5" s="3" t="s">
        <v>48</v>
      </c>
      <c r="F5" s="23">
        <v>45890.13791496528</v>
      </c>
    </row>
    <row r="6">
      <c r="A6" s="3" t="s">
        <v>49</v>
      </c>
      <c r="B6" s="24">
        <v>3.0</v>
      </c>
      <c r="C6" s="3" t="s">
        <v>50</v>
      </c>
      <c r="D6" s="3" t="s">
        <v>51</v>
      </c>
      <c r="E6" s="3" t="s">
        <v>52</v>
      </c>
      <c r="F6" s="23">
        <v>45890.13791496528</v>
      </c>
    </row>
    <row r="7">
      <c r="A7" s="3" t="s">
        <v>53</v>
      </c>
      <c r="B7" s="24">
        <v>2.0</v>
      </c>
      <c r="C7" s="3" t="s">
        <v>50</v>
      </c>
      <c r="D7" s="3" t="s">
        <v>51</v>
      </c>
      <c r="E7" s="3" t="s">
        <v>54</v>
      </c>
      <c r="F7" s="23">
        <v>45890.13791496528</v>
      </c>
    </row>
    <row r="8">
      <c r="A8" s="3" t="s">
        <v>55</v>
      </c>
      <c r="B8" s="24">
        <v>8.0</v>
      </c>
      <c r="C8" s="3" t="s">
        <v>51</v>
      </c>
      <c r="D8" s="3" t="s">
        <v>51</v>
      </c>
      <c r="E8" s="3" t="s">
        <v>56</v>
      </c>
      <c r="F8" s="23">
        <v>45890.13791496528</v>
      </c>
    </row>
    <row r="9">
      <c r="A9" s="3" t="s">
        <v>57</v>
      </c>
      <c r="B9" s="24">
        <v>39.0</v>
      </c>
      <c r="E9" s="3" t="s">
        <v>44</v>
      </c>
      <c r="F9" s="23">
        <v>45890.13791496528</v>
      </c>
    </row>
    <row r="10">
      <c r="A10" s="3" t="s">
        <v>58</v>
      </c>
      <c r="B10" s="24">
        <v>16.0</v>
      </c>
      <c r="E10" s="3" t="s">
        <v>44</v>
      </c>
      <c r="F10" s="23">
        <v>45890.13791496528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29</v>
      </c>
      <c r="B1" s="22" t="s">
        <v>59</v>
      </c>
      <c r="C1" s="22" t="s">
        <v>60</v>
      </c>
      <c r="D1" s="22" t="s">
        <v>61</v>
      </c>
      <c r="E1" s="22" t="s">
        <v>62</v>
      </c>
      <c r="F1" s="22" t="s">
        <v>63</v>
      </c>
      <c r="G1" s="22" t="s">
        <v>64</v>
      </c>
      <c r="H1" s="22" t="s">
        <v>65</v>
      </c>
      <c r="I1" s="22" t="s">
        <v>36</v>
      </c>
      <c r="J1" s="22" t="s">
        <v>66</v>
      </c>
      <c r="K1" s="22" t="s">
        <v>67</v>
      </c>
      <c r="L1" s="22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6.38"/>
    <col customWidth="1" min="3" max="3" width="4.75"/>
    <col customWidth="1" min="4" max="4" width="6.5"/>
    <col customWidth="1" min="5" max="5" width="20.13"/>
    <col customWidth="1" min="6" max="6" width="29.5"/>
    <col customWidth="1" min="7" max="7" width="14.25"/>
    <col customWidth="1" min="8" max="8" width="8.75"/>
    <col customWidth="1" min="9" max="9" width="5.63"/>
    <col customWidth="1" min="10" max="10" width="6.38"/>
  </cols>
  <sheetData>
    <row r="1">
      <c r="A1" s="25" t="s">
        <v>29</v>
      </c>
      <c r="B1" s="25" t="s">
        <v>69</v>
      </c>
      <c r="C1" s="25" t="s">
        <v>70</v>
      </c>
      <c r="D1" s="25" t="s">
        <v>71</v>
      </c>
      <c r="E1" s="25" t="s">
        <v>72</v>
      </c>
      <c r="F1" s="25" t="s">
        <v>73</v>
      </c>
      <c r="G1" s="25" t="s">
        <v>74</v>
      </c>
      <c r="H1" s="25" t="s">
        <v>75</v>
      </c>
      <c r="I1" s="25" t="s">
        <v>36</v>
      </c>
      <c r="J1" s="25" t="s">
        <v>76</v>
      </c>
    </row>
    <row r="2">
      <c r="A2" s="23">
        <v>45889.910012824075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H2" s="3" t="s">
        <v>82</v>
      </c>
      <c r="I2" s="3" t="s">
        <v>83</v>
      </c>
      <c r="J2" s="3" t="s">
        <v>43</v>
      </c>
    </row>
    <row r="3">
      <c r="A3" s="23">
        <v>45889.91049354167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81</v>
      </c>
      <c r="H3" s="3" t="s">
        <v>88</v>
      </c>
      <c r="I3" s="3" t="s">
        <v>83</v>
      </c>
      <c r="J3" s="3" t="s">
        <v>43</v>
      </c>
    </row>
    <row r="4">
      <c r="A4" s="23">
        <v>45889.91051261574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H4" s="3" t="s">
        <v>82</v>
      </c>
      <c r="I4" s="3" t="s">
        <v>83</v>
      </c>
      <c r="J4" s="3" t="s">
        <v>43</v>
      </c>
    </row>
    <row r="5">
      <c r="A5" s="23">
        <v>45889.91080734954</v>
      </c>
      <c r="B5" s="3" t="s">
        <v>89</v>
      </c>
      <c r="C5" s="3" t="s">
        <v>85</v>
      </c>
      <c r="D5" s="3" t="s">
        <v>90</v>
      </c>
      <c r="E5" s="3" t="s">
        <v>87</v>
      </c>
      <c r="F5" s="3" t="s">
        <v>81</v>
      </c>
      <c r="H5" s="3" t="s">
        <v>91</v>
      </c>
      <c r="I5" s="3" t="s">
        <v>83</v>
      </c>
      <c r="J5" s="3" t="s">
        <v>43</v>
      </c>
    </row>
    <row r="6">
      <c r="A6" s="23">
        <v>45889.9109024537</v>
      </c>
      <c r="B6" s="3" t="s">
        <v>84</v>
      </c>
      <c r="C6" s="3" t="s">
        <v>85</v>
      </c>
      <c r="D6" s="3" t="s">
        <v>86</v>
      </c>
      <c r="E6" s="3" t="s">
        <v>87</v>
      </c>
      <c r="F6" s="3" t="s">
        <v>81</v>
      </c>
      <c r="H6" s="3" t="s">
        <v>88</v>
      </c>
      <c r="I6" s="3" t="s">
        <v>83</v>
      </c>
      <c r="J6" s="3" t="s">
        <v>43</v>
      </c>
    </row>
    <row r="7">
      <c r="A7" s="23">
        <v>45889.910951157406</v>
      </c>
      <c r="B7" s="3" t="s">
        <v>92</v>
      </c>
      <c r="C7" s="3" t="s">
        <v>93</v>
      </c>
      <c r="D7" s="3" t="s">
        <v>94</v>
      </c>
      <c r="E7" s="3" t="s">
        <v>95</v>
      </c>
      <c r="F7" s="3" t="s">
        <v>81</v>
      </c>
      <c r="H7" s="3" t="s">
        <v>96</v>
      </c>
      <c r="I7" s="3" t="s">
        <v>83</v>
      </c>
      <c r="J7" s="3" t="s">
        <v>43</v>
      </c>
    </row>
    <row r="8">
      <c r="A8" s="23">
        <v>45889.91118185185</v>
      </c>
      <c r="B8" s="3" t="s">
        <v>89</v>
      </c>
      <c r="C8" s="3" t="s">
        <v>85</v>
      </c>
      <c r="D8" s="3" t="s">
        <v>90</v>
      </c>
      <c r="E8" s="3" t="s">
        <v>87</v>
      </c>
      <c r="F8" s="3" t="s">
        <v>81</v>
      </c>
      <c r="H8" s="3" t="s">
        <v>91</v>
      </c>
      <c r="I8" s="3" t="s">
        <v>83</v>
      </c>
      <c r="J8" s="3" t="s">
        <v>43</v>
      </c>
    </row>
    <row r="9">
      <c r="A9" s="23">
        <v>45889.91130226852</v>
      </c>
      <c r="B9" s="3" t="s">
        <v>92</v>
      </c>
      <c r="C9" s="3" t="s">
        <v>93</v>
      </c>
      <c r="D9" s="3" t="s">
        <v>94</v>
      </c>
      <c r="E9" s="3" t="s">
        <v>95</v>
      </c>
      <c r="F9" s="3" t="s">
        <v>81</v>
      </c>
      <c r="H9" s="3" t="s">
        <v>96</v>
      </c>
      <c r="I9" s="3" t="s">
        <v>83</v>
      </c>
      <c r="J9" s="3" t="s">
        <v>43</v>
      </c>
    </row>
    <row r="10">
      <c r="A10" s="23">
        <v>45889.93333409722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H10" s="3" t="s">
        <v>82</v>
      </c>
      <c r="I10" s="3" t="s">
        <v>83</v>
      </c>
      <c r="J10" s="3" t="s">
        <v>43</v>
      </c>
    </row>
    <row r="11">
      <c r="A11" s="23">
        <v>45889.93379693287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81</v>
      </c>
      <c r="H11" s="3" t="s">
        <v>88</v>
      </c>
      <c r="I11" s="3" t="s">
        <v>83</v>
      </c>
      <c r="J11" s="3" t="s">
        <v>43</v>
      </c>
    </row>
    <row r="12">
      <c r="A12" s="23">
        <v>45889.93407174769</v>
      </c>
      <c r="B12" s="3" t="s">
        <v>89</v>
      </c>
      <c r="C12" s="3" t="s">
        <v>85</v>
      </c>
      <c r="D12" s="3" t="s">
        <v>90</v>
      </c>
      <c r="E12" s="3" t="s">
        <v>87</v>
      </c>
      <c r="F12" s="3" t="s">
        <v>81</v>
      </c>
      <c r="H12" s="3" t="s">
        <v>91</v>
      </c>
      <c r="I12" s="3" t="s">
        <v>83</v>
      </c>
      <c r="J12" s="3" t="s">
        <v>43</v>
      </c>
    </row>
    <row r="13">
      <c r="A13" s="23">
        <v>45889.93453614583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H13" s="3" t="s">
        <v>82</v>
      </c>
      <c r="I13" s="3" t="s">
        <v>83</v>
      </c>
      <c r="J13" s="3" t="s">
        <v>43</v>
      </c>
    </row>
    <row r="14">
      <c r="A14" s="23">
        <v>45889.93482702546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81</v>
      </c>
      <c r="H14" s="3" t="s">
        <v>88</v>
      </c>
      <c r="I14" s="3" t="s">
        <v>83</v>
      </c>
      <c r="J14" s="3" t="s">
        <v>43</v>
      </c>
    </row>
    <row r="15">
      <c r="A15" s="23">
        <v>45889.93503878472</v>
      </c>
      <c r="B15" s="3" t="s">
        <v>89</v>
      </c>
      <c r="C15" s="3" t="s">
        <v>85</v>
      </c>
      <c r="D15" s="3" t="s">
        <v>90</v>
      </c>
      <c r="E15" s="3" t="s">
        <v>87</v>
      </c>
      <c r="F15" s="3" t="s">
        <v>81</v>
      </c>
      <c r="H15" s="3" t="s">
        <v>91</v>
      </c>
      <c r="I15" s="3" t="s">
        <v>83</v>
      </c>
      <c r="J15" s="3" t="s">
        <v>43</v>
      </c>
    </row>
    <row r="16">
      <c r="A16" s="23">
        <v>45889.935161817135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81</v>
      </c>
      <c r="H16" s="3" t="s">
        <v>96</v>
      </c>
      <c r="I16" s="3" t="s">
        <v>83</v>
      </c>
      <c r="J16" s="3" t="s">
        <v>43</v>
      </c>
    </row>
    <row r="17">
      <c r="A17" s="23">
        <v>45890.025312893515</v>
      </c>
      <c r="B17" s="3" t="s">
        <v>97</v>
      </c>
      <c r="C17" s="3" t="s">
        <v>85</v>
      </c>
      <c r="D17" s="3" t="s">
        <v>98</v>
      </c>
      <c r="E17" s="3" t="s">
        <v>87</v>
      </c>
      <c r="F17" s="3" t="s">
        <v>81</v>
      </c>
      <c r="H17" s="3" t="s">
        <v>99</v>
      </c>
      <c r="I17" s="3" t="s">
        <v>83</v>
      </c>
      <c r="J17" s="3" t="s">
        <v>43</v>
      </c>
    </row>
    <row r="18">
      <c r="A18" s="23">
        <v>45890.025462777776</v>
      </c>
      <c r="B18" s="3" t="s">
        <v>100</v>
      </c>
      <c r="C18" s="3" t="s">
        <v>85</v>
      </c>
      <c r="D18" s="3" t="s">
        <v>101</v>
      </c>
      <c r="E18" s="3" t="s">
        <v>87</v>
      </c>
      <c r="F18" s="3" t="s">
        <v>81</v>
      </c>
      <c r="H18" s="3" t="s">
        <v>102</v>
      </c>
      <c r="I18" s="3" t="s">
        <v>83</v>
      </c>
      <c r="J18" s="3" t="s">
        <v>43</v>
      </c>
    </row>
    <row r="19">
      <c r="A19" s="23">
        <v>45890.0256949537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81</v>
      </c>
      <c r="H19" s="3" t="s">
        <v>82</v>
      </c>
      <c r="I19" s="3" t="s">
        <v>83</v>
      </c>
      <c r="J19" s="3" t="s">
        <v>43</v>
      </c>
    </row>
    <row r="20">
      <c r="A20" s="23">
        <v>45890.02606715278</v>
      </c>
      <c r="B20" s="3" t="s">
        <v>84</v>
      </c>
      <c r="C20" s="3" t="s">
        <v>85</v>
      </c>
      <c r="D20" s="3" t="s">
        <v>86</v>
      </c>
      <c r="E20" s="3" t="s">
        <v>87</v>
      </c>
      <c r="F20" s="3" t="s">
        <v>81</v>
      </c>
      <c r="H20" s="3" t="s">
        <v>88</v>
      </c>
      <c r="I20" s="3" t="s">
        <v>83</v>
      </c>
      <c r="J20" s="3" t="s">
        <v>43</v>
      </c>
    </row>
    <row r="21">
      <c r="A21" s="23">
        <v>45890.026302893515</v>
      </c>
      <c r="B21" s="3" t="s">
        <v>89</v>
      </c>
      <c r="C21" s="3" t="s">
        <v>85</v>
      </c>
      <c r="D21" s="3" t="s">
        <v>90</v>
      </c>
      <c r="E21" s="3" t="s">
        <v>87</v>
      </c>
      <c r="F21" s="3" t="s">
        <v>81</v>
      </c>
      <c r="H21" s="3" t="s">
        <v>91</v>
      </c>
      <c r="I21" s="3" t="s">
        <v>83</v>
      </c>
      <c r="J21" s="3" t="s">
        <v>43</v>
      </c>
    </row>
    <row r="22">
      <c r="A22" s="23">
        <v>45890.02639590278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81</v>
      </c>
      <c r="H22" s="3" t="s">
        <v>96</v>
      </c>
      <c r="I22" s="3" t="s">
        <v>83</v>
      </c>
      <c r="J22" s="3" t="s">
        <v>43</v>
      </c>
    </row>
    <row r="23">
      <c r="A23" s="23">
        <v>45890.02644729167</v>
      </c>
      <c r="B23" s="3" t="s">
        <v>97</v>
      </c>
      <c r="C23" s="3" t="s">
        <v>85</v>
      </c>
      <c r="D23" s="3" t="s">
        <v>98</v>
      </c>
      <c r="E23" s="3" t="s">
        <v>87</v>
      </c>
      <c r="F23" s="3" t="s">
        <v>81</v>
      </c>
      <c r="H23" s="3" t="s">
        <v>99</v>
      </c>
      <c r="I23" s="3" t="s">
        <v>83</v>
      </c>
      <c r="J23" s="3" t="s">
        <v>43</v>
      </c>
    </row>
    <row r="24">
      <c r="A24" s="23">
        <v>45890.02661017361</v>
      </c>
      <c r="B24" s="3" t="s">
        <v>100</v>
      </c>
      <c r="C24" s="3" t="s">
        <v>85</v>
      </c>
      <c r="D24" s="3" t="s">
        <v>101</v>
      </c>
      <c r="E24" s="3" t="s">
        <v>87</v>
      </c>
      <c r="F24" s="3" t="s">
        <v>81</v>
      </c>
      <c r="H24" s="3" t="s">
        <v>102</v>
      </c>
      <c r="I24" s="3" t="s">
        <v>83</v>
      </c>
      <c r="J24" s="3" t="s">
        <v>43</v>
      </c>
    </row>
    <row r="25">
      <c r="A25" s="23">
        <v>45890.026815289355</v>
      </c>
      <c r="B25" s="3" t="s">
        <v>77</v>
      </c>
      <c r="C25" s="3" t="s">
        <v>78</v>
      </c>
      <c r="D25" s="3" t="s">
        <v>79</v>
      </c>
      <c r="E25" s="3" t="s">
        <v>80</v>
      </c>
      <c r="F25" s="3" t="s">
        <v>81</v>
      </c>
      <c r="H25" s="3" t="s">
        <v>82</v>
      </c>
      <c r="I25" s="3" t="s">
        <v>83</v>
      </c>
      <c r="J25" s="3" t="s">
        <v>43</v>
      </c>
    </row>
    <row r="26">
      <c r="A26" s="23">
        <v>45890.02712491898</v>
      </c>
      <c r="B26" s="3" t="s">
        <v>84</v>
      </c>
      <c r="C26" s="3" t="s">
        <v>85</v>
      </c>
      <c r="D26" s="3" t="s">
        <v>86</v>
      </c>
      <c r="E26" s="3" t="s">
        <v>87</v>
      </c>
      <c r="F26" s="3" t="s">
        <v>81</v>
      </c>
      <c r="H26" s="3" t="s">
        <v>88</v>
      </c>
      <c r="I26" s="3" t="s">
        <v>83</v>
      </c>
      <c r="J26" s="3" t="s">
        <v>43</v>
      </c>
    </row>
    <row r="27">
      <c r="A27" s="23">
        <v>45890.027317500004</v>
      </c>
      <c r="B27" s="3" t="s">
        <v>89</v>
      </c>
      <c r="C27" s="3" t="s">
        <v>85</v>
      </c>
      <c r="D27" s="3" t="s">
        <v>90</v>
      </c>
      <c r="E27" s="3" t="s">
        <v>87</v>
      </c>
      <c r="F27" s="3" t="s">
        <v>81</v>
      </c>
      <c r="H27" s="3" t="s">
        <v>91</v>
      </c>
      <c r="I27" s="3" t="s">
        <v>83</v>
      </c>
      <c r="J27" s="3" t="s">
        <v>43</v>
      </c>
    </row>
    <row r="28">
      <c r="A28" s="23">
        <v>45890.02742009259</v>
      </c>
      <c r="B28" s="3" t="s">
        <v>92</v>
      </c>
      <c r="C28" s="3" t="s">
        <v>93</v>
      </c>
      <c r="D28" s="3" t="s">
        <v>94</v>
      </c>
      <c r="E28" s="3" t="s">
        <v>95</v>
      </c>
      <c r="F28" s="3" t="s">
        <v>81</v>
      </c>
      <c r="H28" s="3" t="s">
        <v>96</v>
      </c>
      <c r="I28" s="3" t="s">
        <v>83</v>
      </c>
      <c r="J28" s="3" t="s">
        <v>43</v>
      </c>
    </row>
    <row r="29">
      <c r="A29" s="23">
        <v>45890.06497511574</v>
      </c>
      <c r="B29" s="3" t="s">
        <v>97</v>
      </c>
      <c r="C29" s="3" t="s">
        <v>85</v>
      </c>
      <c r="D29" s="3" t="s">
        <v>98</v>
      </c>
      <c r="E29" s="3" t="s">
        <v>87</v>
      </c>
      <c r="F29" s="3" t="s">
        <v>81</v>
      </c>
      <c r="H29" s="3" t="s">
        <v>99</v>
      </c>
      <c r="I29" s="3" t="s">
        <v>83</v>
      </c>
      <c r="J29" s="3" t="s">
        <v>43</v>
      </c>
    </row>
    <row r="30">
      <c r="A30" s="23">
        <v>45890.065124201385</v>
      </c>
      <c r="B30" s="3" t="s">
        <v>100</v>
      </c>
      <c r="C30" s="3" t="s">
        <v>85</v>
      </c>
      <c r="D30" s="3" t="s">
        <v>101</v>
      </c>
      <c r="E30" s="3" t="s">
        <v>87</v>
      </c>
      <c r="F30" s="3" t="s">
        <v>81</v>
      </c>
      <c r="H30" s="3" t="s">
        <v>102</v>
      </c>
      <c r="I30" s="3" t="s">
        <v>83</v>
      </c>
      <c r="J30" s="3" t="s">
        <v>43</v>
      </c>
    </row>
    <row r="31">
      <c r="A31" s="23">
        <v>45890.06529023148</v>
      </c>
      <c r="B31" s="3" t="s">
        <v>77</v>
      </c>
      <c r="C31" s="3" t="s">
        <v>78</v>
      </c>
      <c r="D31" s="3" t="s">
        <v>79</v>
      </c>
      <c r="E31" s="3" t="s">
        <v>80</v>
      </c>
      <c r="F31" s="3" t="s">
        <v>81</v>
      </c>
      <c r="H31" s="3" t="s">
        <v>82</v>
      </c>
      <c r="I31" s="3" t="s">
        <v>83</v>
      </c>
      <c r="J31" s="3" t="s">
        <v>43</v>
      </c>
    </row>
    <row r="32">
      <c r="A32" s="23">
        <v>45890.065638541666</v>
      </c>
      <c r="B32" s="3" t="s">
        <v>84</v>
      </c>
      <c r="C32" s="3" t="s">
        <v>85</v>
      </c>
      <c r="D32" s="3" t="s">
        <v>86</v>
      </c>
      <c r="E32" s="3" t="s">
        <v>87</v>
      </c>
      <c r="F32" s="3" t="s">
        <v>81</v>
      </c>
      <c r="H32" s="3" t="s">
        <v>88</v>
      </c>
      <c r="I32" s="3" t="s">
        <v>83</v>
      </c>
      <c r="J32" s="3" t="s">
        <v>43</v>
      </c>
    </row>
    <row r="33">
      <c r="A33" s="23">
        <v>45890.06589777778</v>
      </c>
      <c r="B33" s="3" t="s">
        <v>89</v>
      </c>
      <c r="C33" s="3" t="s">
        <v>85</v>
      </c>
      <c r="D33" s="3" t="s">
        <v>90</v>
      </c>
      <c r="E33" s="3" t="s">
        <v>87</v>
      </c>
      <c r="F33" s="3" t="s">
        <v>81</v>
      </c>
      <c r="H33" s="3" t="s">
        <v>91</v>
      </c>
      <c r="I33" s="3" t="s">
        <v>83</v>
      </c>
      <c r="J33" s="3" t="s">
        <v>43</v>
      </c>
    </row>
    <row r="34">
      <c r="A34" s="23">
        <v>45890.06602618056</v>
      </c>
      <c r="B34" s="3" t="s">
        <v>92</v>
      </c>
      <c r="C34" s="3" t="s">
        <v>93</v>
      </c>
      <c r="D34" s="3" t="s">
        <v>94</v>
      </c>
      <c r="E34" s="3" t="s">
        <v>95</v>
      </c>
      <c r="F34" s="3" t="s">
        <v>81</v>
      </c>
      <c r="H34" s="3" t="s">
        <v>96</v>
      </c>
      <c r="I34" s="3" t="s">
        <v>83</v>
      </c>
      <c r="J34" s="3" t="s">
        <v>43</v>
      </c>
    </row>
    <row r="35">
      <c r="A35" s="23">
        <v>45890.06975232639</v>
      </c>
      <c r="B35" s="3" t="s">
        <v>97</v>
      </c>
      <c r="C35" s="3" t="s">
        <v>85</v>
      </c>
      <c r="D35" s="3" t="s">
        <v>98</v>
      </c>
      <c r="E35" s="3" t="s">
        <v>87</v>
      </c>
      <c r="F35" s="3" t="s">
        <v>81</v>
      </c>
      <c r="H35" s="3" t="s">
        <v>99</v>
      </c>
      <c r="I35" s="3" t="s">
        <v>83</v>
      </c>
      <c r="J35" s="3" t="s">
        <v>43</v>
      </c>
    </row>
    <row r="36">
      <c r="A36" s="23">
        <v>45890.06995690972</v>
      </c>
      <c r="B36" s="3" t="s">
        <v>100</v>
      </c>
      <c r="C36" s="3" t="s">
        <v>85</v>
      </c>
      <c r="D36" s="3" t="s">
        <v>101</v>
      </c>
      <c r="E36" s="3" t="s">
        <v>87</v>
      </c>
      <c r="F36" s="3" t="s">
        <v>81</v>
      </c>
      <c r="H36" s="3" t="s">
        <v>102</v>
      </c>
      <c r="I36" s="3" t="s">
        <v>83</v>
      </c>
      <c r="J36" s="3" t="s">
        <v>43</v>
      </c>
    </row>
    <row r="37">
      <c r="A37" s="23">
        <v>45890.070199953705</v>
      </c>
      <c r="B37" s="3" t="s">
        <v>77</v>
      </c>
      <c r="C37" s="3" t="s">
        <v>78</v>
      </c>
      <c r="D37" s="3" t="s">
        <v>79</v>
      </c>
      <c r="E37" s="3" t="s">
        <v>80</v>
      </c>
      <c r="F37" s="3" t="s">
        <v>81</v>
      </c>
      <c r="H37" s="3" t="s">
        <v>82</v>
      </c>
      <c r="I37" s="3" t="s">
        <v>83</v>
      </c>
      <c r="J37" s="3" t="s">
        <v>43</v>
      </c>
    </row>
    <row r="38">
      <c r="A38" s="23">
        <v>45890.070653993054</v>
      </c>
      <c r="B38" s="3" t="s">
        <v>84</v>
      </c>
      <c r="C38" s="3" t="s">
        <v>85</v>
      </c>
      <c r="D38" s="3" t="s">
        <v>86</v>
      </c>
      <c r="E38" s="3" t="s">
        <v>87</v>
      </c>
      <c r="F38" s="3" t="s">
        <v>81</v>
      </c>
      <c r="H38" s="3" t="s">
        <v>88</v>
      </c>
      <c r="I38" s="3" t="s">
        <v>83</v>
      </c>
      <c r="J38" s="3" t="s">
        <v>43</v>
      </c>
    </row>
    <row r="39">
      <c r="A39" s="23">
        <v>45890.07093266204</v>
      </c>
      <c r="B39" s="3" t="s">
        <v>89</v>
      </c>
      <c r="C39" s="3" t="s">
        <v>85</v>
      </c>
      <c r="D39" s="3" t="s">
        <v>90</v>
      </c>
      <c r="E39" s="3" t="s">
        <v>87</v>
      </c>
      <c r="F39" s="3" t="s">
        <v>81</v>
      </c>
      <c r="H39" s="3" t="s">
        <v>91</v>
      </c>
      <c r="I39" s="3" t="s">
        <v>83</v>
      </c>
      <c r="J39" s="3" t="s">
        <v>43</v>
      </c>
    </row>
    <row r="40">
      <c r="A40" s="23">
        <v>45890.07108761574</v>
      </c>
      <c r="B40" s="3" t="s">
        <v>92</v>
      </c>
      <c r="C40" s="3" t="s">
        <v>93</v>
      </c>
      <c r="D40" s="3" t="s">
        <v>94</v>
      </c>
      <c r="E40" s="3" t="s">
        <v>95</v>
      </c>
      <c r="F40" s="3" t="s">
        <v>81</v>
      </c>
      <c r="H40" s="3" t="s">
        <v>96</v>
      </c>
      <c r="I40" s="3" t="s">
        <v>83</v>
      </c>
      <c r="J40" s="3" t="s">
        <v>43</v>
      </c>
    </row>
    <row r="41">
      <c r="A41" s="23">
        <v>45890.11962324074</v>
      </c>
      <c r="B41" s="3" t="s">
        <v>103</v>
      </c>
      <c r="C41" s="3" t="s">
        <v>104</v>
      </c>
      <c r="D41" s="3" t="s">
        <v>105</v>
      </c>
      <c r="G41" s="3" t="s">
        <v>106</v>
      </c>
      <c r="H41" s="3" t="s">
        <v>107</v>
      </c>
    </row>
    <row r="42">
      <c r="A42" s="23">
        <v>45890.11966222222</v>
      </c>
      <c r="B42" s="3" t="s">
        <v>100</v>
      </c>
      <c r="C42" s="3" t="s">
        <v>85</v>
      </c>
      <c r="D42" s="3" t="s">
        <v>101</v>
      </c>
      <c r="E42" s="3" t="s">
        <v>87</v>
      </c>
      <c r="F42" s="3" t="s">
        <v>108</v>
      </c>
      <c r="G42" s="3" t="s">
        <v>109</v>
      </c>
      <c r="H42" s="3" t="s">
        <v>102</v>
      </c>
      <c r="I42" s="3" t="s">
        <v>83</v>
      </c>
      <c r="J42" s="3" t="s">
        <v>43</v>
      </c>
    </row>
    <row r="43">
      <c r="A43" s="23">
        <v>45890.11997251157</v>
      </c>
      <c r="B43" s="3" t="s">
        <v>103</v>
      </c>
      <c r="C43" s="3" t="s">
        <v>104</v>
      </c>
      <c r="D43" s="3" t="s">
        <v>105</v>
      </c>
      <c r="G43" s="3" t="s">
        <v>110</v>
      </c>
      <c r="H43" s="3" t="s">
        <v>107</v>
      </c>
    </row>
    <row r="44">
      <c r="A44" s="23">
        <v>45890.12003233796</v>
      </c>
      <c r="B44" s="3" t="s">
        <v>84</v>
      </c>
      <c r="C44" s="3" t="s">
        <v>85</v>
      </c>
      <c r="D44" s="3" t="s">
        <v>86</v>
      </c>
      <c r="E44" s="3" t="s">
        <v>87</v>
      </c>
      <c r="F44" s="3" t="s">
        <v>108</v>
      </c>
      <c r="G44" s="3" t="s">
        <v>109</v>
      </c>
      <c r="H44" s="3" t="s">
        <v>88</v>
      </c>
      <c r="I44" s="3" t="s">
        <v>83</v>
      </c>
      <c r="J44" s="3" t="s">
        <v>43</v>
      </c>
    </row>
    <row r="45">
      <c r="A45" s="23">
        <v>45890.12030056713</v>
      </c>
      <c r="B45" s="3" t="s">
        <v>89</v>
      </c>
      <c r="C45" s="3" t="s">
        <v>85</v>
      </c>
      <c r="D45" s="3" t="s">
        <v>90</v>
      </c>
      <c r="E45" s="3" t="s">
        <v>87</v>
      </c>
      <c r="F45" s="3" t="s">
        <v>108</v>
      </c>
      <c r="G45" s="3" t="s">
        <v>109</v>
      </c>
      <c r="H45" s="3" t="s">
        <v>91</v>
      </c>
      <c r="I45" s="3" t="s">
        <v>83</v>
      </c>
      <c r="J45" s="3" t="s">
        <v>43</v>
      </c>
    </row>
    <row r="46">
      <c r="A46" s="23">
        <v>45890.12046288194</v>
      </c>
      <c r="B46" s="3" t="s">
        <v>92</v>
      </c>
      <c r="C46" s="3" t="s">
        <v>93</v>
      </c>
      <c r="D46" s="3" t="s">
        <v>94</v>
      </c>
      <c r="E46" s="3" t="s">
        <v>95</v>
      </c>
      <c r="F46" s="3" t="s">
        <v>108</v>
      </c>
      <c r="G46" s="3" t="s">
        <v>111</v>
      </c>
      <c r="H46" s="3" t="s">
        <v>96</v>
      </c>
      <c r="I46" s="3" t="s">
        <v>83</v>
      </c>
      <c r="J46" s="3" t="s">
        <v>43</v>
      </c>
    </row>
    <row r="47">
      <c r="A47" s="23">
        <v>45890.12711918981</v>
      </c>
      <c r="B47" s="3" t="s">
        <v>112</v>
      </c>
      <c r="C47" s="3" t="s">
        <v>113</v>
      </c>
      <c r="D47" s="3" t="s">
        <v>114</v>
      </c>
      <c r="G47" s="3" t="s">
        <v>115</v>
      </c>
      <c r="H47" s="3" t="s">
        <v>107</v>
      </c>
    </row>
    <row r="48">
      <c r="A48" s="23">
        <v>45890.12712396991</v>
      </c>
      <c r="B48" s="3" t="s">
        <v>112</v>
      </c>
      <c r="C48" s="3" t="s">
        <v>116</v>
      </c>
      <c r="D48" s="3" t="s">
        <v>117</v>
      </c>
      <c r="G48" s="3" t="s">
        <v>115</v>
      </c>
      <c r="H48" s="3" t="s">
        <v>107</v>
      </c>
    </row>
    <row r="49">
      <c r="A49" s="23">
        <v>45890.12922604167</v>
      </c>
      <c r="B49" s="3" t="s">
        <v>112</v>
      </c>
      <c r="C49" s="3" t="s">
        <v>113</v>
      </c>
      <c r="D49" s="3" t="s">
        <v>114</v>
      </c>
      <c r="G49" s="3" t="s">
        <v>115</v>
      </c>
      <c r="H49" s="3" t="s">
        <v>107</v>
      </c>
    </row>
    <row r="50">
      <c r="A50" s="23">
        <v>45890.129233796295</v>
      </c>
      <c r="B50" s="3" t="s">
        <v>112</v>
      </c>
      <c r="C50" s="3" t="s">
        <v>116</v>
      </c>
      <c r="D50" s="3" t="s">
        <v>117</v>
      </c>
      <c r="G50" s="3" t="s">
        <v>115</v>
      </c>
      <c r="H50" s="3" t="s">
        <v>107</v>
      </c>
    </row>
    <row r="51">
      <c r="A51" s="23">
        <v>45890.13040822917</v>
      </c>
      <c r="B51" s="3" t="s">
        <v>103</v>
      </c>
      <c r="C51" s="3" t="s">
        <v>104</v>
      </c>
      <c r="D51" s="3" t="s">
        <v>105</v>
      </c>
      <c r="G51" s="3" t="s">
        <v>106</v>
      </c>
      <c r="H51" s="3" t="s">
        <v>107</v>
      </c>
    </row>
    <row r="52">
      <c r="A52" s="23">
        <v>45890.130442118054</v>
      </c>
      <c r="B52" s="3" t="s">
        <v>100</v>
      </c>
      <c r="C52" s="3" t="s">
        <v>85</v>
      </c>
      <c r="D52" s="3" t="s">
        <v>101</v>
      </c>
      <c r="E52" s="3" t="s">
        <v>87</v>
      </c>
      <c r="F52" s="3" t="s">
        <v>108</v>
      </c>
      <c r="G52" s="3" t="s">
        <v>109</v>
      </c>
      <c r="H52" s="3" t="s">
        <v>102</v>
      </c>
      <c r="I52" s="3" t="s">
        <v>83</v>
      </c>
      <c r="J52" s="3" t="s">
        <v>43</v>
      </c>
    </row>
    <row r="53">
      <c r="A53" s="23">
        <v>45890.13078278935</v>
      </c>
      <c r="B53" s="3" t="s">
        <v>103</v>
      </c>
      <c r="C53" s="3" t="s">
        <v>104</v>
      </c>
      <c r="D53" s="3" t="s">
        <v>105</v>
      </c>
      <c r="G53" s="3" t="s">
        <v>110</v>
      </c>
      <c r="H53" s="3" t="s">
        <v>107</v>
      </c>
    </row>
    <row r="54">
      <c r="A54" s="23">
        <v>45890.13084146991</v>
      </c>
      <c r="B54" s="3" t="s">
        <v>84</v>
      </c>
      <c r="C54" s="3" t="s">
        <v>85</v>
      </c>
      <c r="D54" s="3" t="s">
        <v>86</v>
      </c>
      <c r="E54" s="3" t="s">
        <v>87</v>
      </c>
      <c r="F54" s="3" t="s">
        <v>108</v>
      </c>
      <c r="G54" s="3" t="s">
        <v>109</v>
      </c>
      <c r="H54" s="3" t="s">
        <v>88</v>
      </c>
      <c r="I54" s="3" t="s">
        <v>83</v>
      </c>
      <c r="J54" s="3" t="s">
        <v>43</v>
      </c>
    </row>
    <row r="55">
      <c r="A55" s="23">
        <v>45890.13106158565</v>
      </c>
      <c r="B55" s="3" t="s">
        <v>89</v>
      </c>
      <c r="C55" s="3" t="s">
        <v>85</v>
      </c>
      <c r="D55" s="3" t="s">
        <v>90</v>
      </c>
      <c r="E55" s="3" t="s">
        <v>87</v>
      </c>
      <c r="F55" s="3" t="s">
        <v>108</v>
      </c>
      <c r="G55" s="3" t="s">
        <v>109</v>
      </c>
      <c r="H55" s="3" t="s">
        <v>91</v>
      </c>
      <c r="I55" s="3" t="s">
        <v>83</v>
      </c>
      <c r="J55" s="3" t="s">
        <v>43</v>
      </c>
    </row>
    <row r="56">
      <c r="A56" s="23">
        <v>45890.131210983796</v>
      </c>
      <c r="B56" s="3" t="s">
        <v>92</v>
      </c>
      <c r="C56" s="3" t="s">
        <v>93</v>
      </c>
      <c r="D56" s="3" t="s">
        <v>94</v>
      </c>
      <c r="E56" s="3" t="s">
        <v>95</v>
      </c>
      <c r="F56" s="3" t="s">
        <v>108</v>
      </c>
      <c r="G56" s="3" t="s">
        <v>111</v>
      </c>
      <c r="H56" s="3" t="s">
        <v>96</v>
      </c>
      <c r="I56" s="3" t="s">
        <v>83</v>
      </c>
      <c r="J56" s="3" t="s">
        <v>43</v>
      </c>
    </row>
    <row r="57">
      <c r="A57" s="23">
        <v>45890.47270108796</v>
      </c>
      <c r="B57" s="3" t="s">
        <v>103</v>
      </c>
      <c r="C57" s="3" t="s">
        <v>104</v>
      </c>
      <c r="D57" s="3" t="s">
        <v>105</v>
      </c>
      <c r="G57" s="3" t="s">
        <v>118</v>
      </c>
      <c r="H57" s="3" t="s">
        <v>107</v>
      </c>
    </row>
    <row r="58">
      <c r="A58" s="23">
        <v>45890.472741527774</v>
      </c>
      <c r="B58" s="3" t="s">
        <v>103</v>
      </c>
      <c r="C58" s="3" t="s">
        <v>104</v>
      </c>
      <c r="D58" s="3" t="s">
        <v>105</v>
      </c>
      <c r="G58" s="3" t="s">
        <v>106</v>
      </c>
      <c r="H58" s="3" t="s">
        <v>107</v>
      </c>
    </row>
    <row r="59">
      <c r="A59" s="23">
        <v>45890.47277788194</v>
      </c>
      <c r="B59" s="3" t="s">
        <v>100</v>
      </c>
      <c r="C59" s="3" t="s">
        <v>85</v>
      </c>
      <c r="D59" s="3" t="s">
        <v>101</v>
      </c>
      <c r="E59" s="3" t="s">
        <v>87</v>
      </c>
      <c r="F59" s="3" t="s">
        <v>108</v>
      </c>
      <c r="G59" s="3" t="s">
        <v>109</v>
      </c>
      <c r="H59" s="3" t="s">
        <v>102</v>
      </c>
      <c r="I59" s="3" t="s">
        <v>83</v>
      </c>
      <c r="J59" s="3" t="s">
        <v>43</v>
      </c>
    </row>
    <row r="60">
      <c r="A60" s="23">
        <v>45890.47304726852</v>
      </c>
      <c r="B60" s="3" t="s">
        <v>103</v>
      </c>
      <c r="C60" s="3" t="s">
        <v>104</v>
      </c>
      <c r="D60" s="3" t="s">
        <v>105</v>
      </c>
      <c r="G60" s="3" t="s">
        <v>110</v>
      </c>
      <c r="H60" s="3" t="s">
        <v>107</v>
      </c>
    </row>
    <row r="61">
      <c r="A61" s="23">
        <v>45890.47309888889</v>
      </c>
      <c r="B61" s="3" t="s">
        <v>84</v>
      </c>
      <c r="C61" s="3" t="s">
        <v>85</v>
      </c>
      <c r="D61" s="3" t="s">
        <v>86</v>
      </c>
      <c r="E61" s="3" t="s">
        <v>87</v>
      </c>
      <c r="F61" s="3" t="s">
        <v>108</v>
      </c>
      <c r="G61" s="3" t="s">
        <v>109</v>
      </c>
      <c r="H61" s="3" t="s">
        <v>88</v>
      </c>
      <c r="I61" s="3" t="s">
        <v>83</v>
      </c>
      <c r="J61" s="3" t="s">
        <v>43</v>
      </c>
    </row>
    <row r="62">
      <c r="A62" s="23">
        <v>45890.473320868055</v>
      </c>
      <c r="B62" s="3" t="s">
        <v>89</v>
      </c>
      <c r="C62" s="3" t="s">
        <v>85</v>
      </c>
      <c r="D62" s="3" t="s">
        <v>90</v>
      </c>
      <c r="E62" s="3" t="s">
        <v>87</v>
      </c>
      <c r="F62" s="3" t="s">
        <v>108</v>
      </c>
      <c r="G62" s="3" t="s">
        <v>109</v>
      </c>
      <c r="H62" s="3" t="s">
        <v>91</v>
      </c>
      <c r="I62" s="3" t="s">
        <v>83</v>
      </c>
      <c r="J62" s="3" t="s">
        <v>43</v>
      </c>
    </row>
    <row r="63">
      <c r="A63" s="23">
        <v>45890.47350207176</v>
      </c>
      <c r="B63" s="3" t="s">
        <v>92</v>
      </c>
      <c r="C63" s="3" t="s">
        <v>93</v>
      </c>
      <c r="D63" s="3" t="s">
        <v>94</v>
      </c>
      <c r="E63" s="3" t="s">
        <v>95</v>
      </c>
      <c r="F63" s="3" t="s">
        <v>108</v>
      </c>
      <c r="G63" s="3" t="s">
        <v>111</v>
      </c>
      <c r="H63" s="3" t="s">
        <v>96</v>
      </c>
      <c r="I63" s="3" t="s">
        <v>83</v>
      </c>
      <c r="J63" s="3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4.75"/>
    <col customWidth="1" min="3" max="4" width="27.5"/>
  </cols>
  <sheetData>
    <row r="1">
      <c r="A1" s="26" t="s">
        <v>119</v>
      </c>
      <c r="B1" s="26" t="s">
        <v>120</v>
      </c>
      <c r="C1" s="26" t="s">
        <v>121</v>
      </c>
      <c r="D1" s="26" t="s">
        <v>122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123</v>
      </c>
      <c r="B2" s="29">
        <v>15188.17</v>
      </c>
      <c r="C2" s="30">
        <v>45889.7459565625</v>
      </c>
      <c r="D2" s="31" t="s">
        <v>124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125</v>
      </c>
      <c r="B3" s="29">
        <v>-56.099999999999994</v>
      </c>
      <c r="C3" s="30">
        <v>45889.882318171294</v>
      </c>
      <c r="D3" s="31" t="s">
        <v>126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127</v>
      </c>
      <c r="B4" s="29">
        <v>0.0</v>
      </c>
      <c r="C4" s="32"/>
      <c r="D4" s="31" t="s">
        <v>126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128</v>
      </c>
      <c r="B5" s="29">
        <v>1720.0606380000002</v>
      </c>
      <c r="C5" s="30">
        <v>45889.74014303241</v>
      </c>
      <c r="D5" s="31" t="s">
        <v>129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130</v>
      </c>
      <c r="B6" s="29">
        <v>0.0</v>
      </c>
      <c r="C6" s="32"/>
      <c r="D6" s="31" t="s">
        <v>131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3" t="s">
        <v>132</v>
      </c>
      <c r="B7" s="34">
        <f>SUM(B2:B6)</f>
        <v>16852.13064</v>
      </c>
      <c r="C7" s="32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/>
      <c r="B8" s="35"/>
      <c r="C8" s="32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/>
      <c r="B9" s="35"/>
      <c r="C9" s="32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/>
      <c r="B10" s="35"/>
      <c r="C10" s="32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/>
      <c r="B11" s="35"/>
      <c r="C11" s="32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/>
      <c r="B12" s="35"/>
      <c r="C12" s="32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/>
      <c r="B13" s="35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/>
      <c r="B14" s="35"/>
      <c r="C14" s="32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/>
      <c r="B15" s="35"/>
      <c r="C15" s="32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/>
      <c r="B16" s="35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/>
      <c r="B17" s="35"/>
      <c r="C17" s="32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/>
      <c r="B18" s="35"/>
      <c r="C18" s="32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35"/>
      <c r="C19" s="32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/>
      <c r="B20" s="35"/>
      <c r="C20" s="32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/>
      <c r="B21" s="35"/>
      <c r="C21" s="32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/>
      <c r="B22" s="35"/>
      <c r="C22" s="32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/>
      <c r="B23" s="35"/>
      <c r="C23" s="32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/>
      <c r="B24" s="35"/>
      <c r="C24" s="32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/>
      <c r="B25" s="35"/>
      <c r="C25" s="32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/>
      <c r="B26" s="35"/>
      <c r="C26" s="32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/>
      <c r="B27" s="35"/>
      <c r="C27" s="32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/>
      <c r="B28" s="35"/>
      <c r="C28" s="32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/>
      <c r="B29" s="35"/>
      <c r="C29" s="32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/>
      <c r="B30" s="35"/>
      <c r="C30" s="32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/>
      <c r="B31" s="35"/>
      <c r="C31" s="32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/>
      <c r="B32" s="35"/>
      <c r="C32" s="32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/>
      <c r="B33" s="35"/>
      <c r="C33" s="32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/>
      <c r="B34" s="35"/>
      <c r="C34" s="32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/>
      <c r="B35" s="35"/>
      <c r="C35" s="32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/>
      <c r="B36" s="35"/>
      <c r="C36" s="32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/>
      <c r="B37" s="35"/>
      <c r="C37" s="32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/>
      <c r="B38" s="35"/>
      <c r="C38" s="32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/>
      <c r="B39" s="35"/>
      <c r="C39" s="32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/>
      <c r="B40" s="35"/>
      <c r="C40" s="32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/>
      <c r="B41" s="35"/>
      <c r="C41" s="32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/>
      <c r="B42" s="35"/>
      <c r="C42" s="32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/>
      <c r="B43" s="35"/>
      <c r="C43" s="32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/>
      <c r="B44" s="35"/>
      <c r="C44" s="32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/>
      <c r="B45" s="35"/>
      <c r="C45" s="32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/>
      <c r="B46" s="35"/>
      <c r="C46" s="32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/>
      <c r="B47" s="35"/>
      <c r="C47" s="32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/>
      <c r="B48" s="35"/>
      <c r="C48" s="32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/>
      <c r="B49" s="35"/>
      <c r="C49" s="32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/>
      <c r="B50" s="35"/>
      <c r="C50" s="32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/>
      <c r="B51" s="35"/>
      <c r="C51" s="32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/>
      <c r="B52" s="35"/>
      <c r="C52" s="32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/>
      <c r="B53" s="35"/>
      <c r="C53" s="32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/>
      <c r="B54" s="35"/>
      <c r="C54" s="32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/>
      <c r="B55" s="35"/>
      <c r="C55" s="32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/>
      <c r="B56" s="35"/>
      <c r="C56" s="32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/>
      <c r="B57" s="35"/>
      <c r="C57" s="32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/>
      <c r="B58" s="35"/>
      <c r="C58" s="32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/>
      <c r="B59" s="35"/>
      <c r="C59" s="32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/>
      <c r="B60" s="35"/>
      <c r="C60" s="32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/>
      <c r="B61" s="35"/>
      <c r="C61" s="32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/>
      <c r="B62" s="35"/>
      <c r="C62" s="32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/>
      <c r="B63" s="35"/>
      <c r="C63" s="32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/>
      <c r="B64" s="35"/>
      <c r="C64" s="32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/>
      <c r="B65" s="35"/>
      <c r="C65" s="32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/>
      <c r="B66" s="35"/>
      <c r="C66" s="32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8"/>
      <c r="B67" s="35"/>
      <c r="C67" s="32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/>
      <c r="B68" s="35"/>
      <c r="C68" s="32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/>
      <c r="B69" s="35"/>
      <c r="C69" s="32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/>
      <c r="B70" s="35"/>
      <c r="C70" s="32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/>
      <c r="B71" s="35"/>
      <c r="C71" s="32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/>
      <c r="B72" s="35"/>
      <c r="C72" s="32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/>
      <c r="B73" s="35"/>
      <c r="C73" s="32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/>
      <c r="B74" s="35"/>
      <c r="C74" s="32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/>
      <c r="B75" s="35"/>
      <c r="C75" s="32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/>
      <c r="B76" s="35"/>
      <c r="C76" s="32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/>
      <c r="B77" s="35"/>
      <c r="C77" s="32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/>
      <c r="B78" s="35"/>
      <c r="C78" s="32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/>
      <c r="B79" s="35"/>
      <c r="C79" s="32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/>
      <c r="B80" s="35"/>
      <c r="C80" s="32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/>
      <c r="B81" s="35"/>
      <c r="C81" s="32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/>
      <c r="B82" s="35"/>
      <c r="C82" s="32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/>
      <c r="B83" s="35"/>
      <c r="C83" s="32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/>
      <c r="B84" s="35"/>
      <c r="C84" s="32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/>
      <c r="B85" s="35"/>
      <c r="C85" s="32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/>
      <c r="B86" s="35"/>
      <c r="C86" s="32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/>
      <c r="B87" s="35"/>
      <c r="C87" s="32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/>
      <c r="B88" s="35"/>
      <c r="C88" s="32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/>
      <c r="B89" s="35"/>
      <c r="C89" s="32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/>
      <c r="B90" s="35"/>
      <c r="C90" s="32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/>
      <c r="B91" s="35"/>
      <c r="C91" s="32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/>
      <c r="B92" s="35"/>
      <c r="C92" s="32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/>
      <c r="B93" s="35"/>
      <c r="C93" s="32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/>
      <c r="B94" s="35"/>
      <c r="C94" s="32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/>
      <c r="B95" s="35"/>
      <c r="C95" s="32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8"/>
      <c r="B96" s="35"/>
      <c r="C96" s="32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/>
      <c r="B97" s="35"/>
      <c r="C97" s="32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/>
      <c r="B98" s="35"/>
      <c r="C98" s="32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/>
      <c r="B99" s="35"/>
      <c r="C99" s="32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8"/>
      <c r="B100" s="35"/>
      <c r="C100" s="32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/>
      <c r="B101" s="35"/>
      <c r="C101" s="32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/>
      <c r="B102" s="35"/>
      <c r="C102" s="32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/>
      <c r="B103" s="35"/>
      <c r="C103" s="32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/>
      <c r="B104" s="35"/>
      <c r="C104" s="32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8"/>
      <c r="B105" s="35"/>
      <c r="C105" s="32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/>
      <c r="B106" s="35"/>
      <c r="C106" s="32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/>
      <c r="B107" s="35"/>
      <c r="C107" s="32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/>
      <c r="B108" s="35"/>
      <c r="C108" s="32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/>
      <c r="B109" s="35"/>
      <c r="C109" s="32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/>
      <c r="B110" s="35"/>
      <c r="C110" s="32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/>
      <c r="B111" s="35"/>
      <c r="C111" s="32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/>
      <c r="B112" s="35"/>
      <c r="C112" s="32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/>
      <c r="B113" s="35"/>
      <c r="C113" s="32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/>
      <c r="B114" s="35"/>
      <c r="C114" s="32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/>
      <c r="B115" s="35"/>
      <c r="C115" s="32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/>
      <c r="B116" s="35"/>
      <c r="C116" s="32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8"/>
      <c r="B117" s="35"/>
      <c r="C117" s="32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/>
      <c r="B118" s="35"/>
      <c r="C118" s="32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/>
      <c r="B119" s="35"/>
      <c r="C119" s="32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/>
      <c r="B120" s="35"/>
      <c r="C120" s="32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/>
      <c r="B121" s="35"/>
      <c r="C121" s="32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/>
      <c r="B122" s="35"/>
      <c r="C122" s="32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8"/>
      <c r="B123" s="35"/>
      <c r="C123" s="32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8"/>
      <c r="B124" s="35"/>
      <c r="C124" s="32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/>
      <c r="B125" s="35"/>
      <c r="C125" s="32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/>
      <c r="B126" s="35"/>
      <c r="C126" s="32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/>
      <c r="B127" s="35"/>
      <c r="C127" s="32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/>
      <c r="B128" s="35"/>
      <c r="C128" s="32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/>
      <c r="B129" s="35"/>
      <c r="C129" s="32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/>
      <c r="B130" s="35"/>
      <c r="C130" s="32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/>
      <c r="B131" s="35"/>
      <c r="C131" s="32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/>
      <c r="B132" s="35"/>
      <c r="C132" s="32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/>
      <c r="B133" s="35"/>
      <c r="C133" s="32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/>
      <c r="B134" s="35"/>
      <c r="C134" s="32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/>
      <c r="B135" s="35"/>
      <c r="C135" s="32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/>
      <c r="B136" s="35"/>
      <c r="C136" s="32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/>
      <c r="B137" s="35"/>
      <c r="C137" s="32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/>
      <c r="B138" s="35"/>
      <c r="C138" s="32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/>
      <c r="B139" s="35"/>
      <c r="C139" s="32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/>
      <c r="B140" s="35"/>
      <c r="C140" s="32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/>
      <c r="B141" s="35"/>
      <c r="C141" s="32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/>
      <c r="B142" s="35"/>
      <c r="C142" s="32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/>
      <c r="B143" s="35"/>
      <c r="C143" s="32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/>
      <c r="B144" s="35"/>
      <c r="C144" s="32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/>
      <c r="B145" s="35"/>
      <c r="C145" s="32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/>
      <c r="B146" s="35"/>
      <c r="C146" s="32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/>
      <c r="B147" s="35"/>
      <c r="C147" s="32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/>
      <c r="B148" s="35"/>
      <c r="C148" s="32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/>
      <c r="B149" s="35"/>
      <c r="C149" s="32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/>
      <c r="B150" s="35"/>
      <c r="C150" s="32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/>
      <c r="B151" s="35"/>
      <c r="C151" s="32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/>
      <c r="B152" s="35"/>
      <c r="C152" s="32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/>
      <c r="B153" s="35"/>
      <c r="C153" s="32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/>
      <c r="B154" s="35"/>
      <c r="C154" s="32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/>
      <c r="B155" s="35"/>
      <c r="C155" s="32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/>
      <c r="B156" s="35"/>
      <c r="C156" s="32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/>
      <c r="B157" s="35"/>
      <c r="C157" s="32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/>
      <c r="B158" s="35"/>
      <c r="C158" s="32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8"/>
      <c r="B159" s="35"/>
      <c r="C159" s="32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8"/>
      <c r="B160" s="35"/>
      <c r="C160" s="32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/>
      <c r="B161" s="35"/>
      <c r="C161" s="32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/>
      <c r="B162" s="35"/>
      <c r="C162" s="32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/>
      <c r="B163" s="35"/>
      <c r="C163" s="32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/>
      <c r="B164" s="35"/>
      <c r="C164" s="32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/>
      <c r="B165" s="35"/>
      <c r="C165" s="32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/>
      <c r="B166" s="35"/>
      <c r="C166" s="32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/>
      <c r="B167" s="35"/>
      <c r="C167" s="32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/>
      <c r="B168" s="35"/>
      <c r="C168" s="32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/>
      <c r="B169" s="35"/>
      <c r="C169" s="32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/>
      <c r="B170" s="35"/>
      <c r="C170" s="32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/>
      <c r="B171" s="35"/>
      <c r="C171" s="32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/>
      <c r="B172" s="35"/>
      <c r="C172" s="32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/>
      <c r="B173" s="35"/>
      <c r="C173" s="32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/>
      <c r="B174" s="35"/>
      <c r="C174" s="32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/>
      <c r="B175" s="35"/>
      <c r="C175" s="32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/>
      <c r="B176" s="35"/>
      <c r="C176" s="32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/>
      <c r="B177" s="35"/>
      <c r="C177" s="32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/>
      <c r="B178" s="35"/>
      <c r="C178" s="32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/>
      <c r="B179" s="35"/>
      <c r="C179" s="32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/>
      <c r="B180" s="35"/>
      <c r="C180" s="32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/>
      <c r="B181" s="35"/>
      <c r="C181" s="32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/>
      <c r="B182" s="35"/>
      <c r="C182" s="32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/>
      <c r="B183" s="35"/>
      <c r="C183" s="32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/>
      <c r="B184" s="35"/>
      <c r="C184" s="32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/>
      <c r="B185" s="35"/>
      <c r="C185" s="32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/>
      <c r="B186" s="35"/>
      <c r="C186" s="32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/>
      <c r="B187" s="35"/>
      <c r="C187" s="32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/>
      <c r="B188" s="35"/>
      <c r="C188" s="32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/>
      <c r="B189" s="35"/>
      <c r="C189" s="32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/>
      <c r="B190" s="35"/>
      <c r="C190" s="32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/>
      <c r="B191" s="35"/>
      <c r="C191" s="32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/>
      <c r="B192" s="35"/>
      <c r="C192" s="32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/>
      <c r="B193" s="35"/>
      <c r="C193" s="32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/>
      <c r="B194" s="35"/>
      <c r="C194" s="32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/>
      <c r="B195" s="35"/>
      <c r="C195" s="32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/>
      <c r="B196" s="35"/>
      <c r="C196" s="32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/>
      <c r="B197" s="35"/>
      <c r="C197" s="32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/>
      <c r="B198" s="35"/>
      <c r="C198" s="32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/>
      <c r="B199" s="35"/>
      <c r="C199" s="32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/>
      <c r="B200" s="35"/>
      <c r="C200" s="32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/>
      <c r="B201" s="35"/>
      <c r="C201" s="32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/>
      <c r="B202" s="35"/>
      <c r="C202" s="32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/>
      <c r="B203" s="35"/>
      <c r="C203" s="32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/>
      <c r="B204" s="35"/>
      <c r="C204" s="32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/>
      <c r="B205" s="35"/>
      <c r="C205" s="32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/>
      <c r="B206" s="35"/>
      <c r="C206" s="32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/>
      <c r="B207" s="35"/>
      <c r="C207" s="32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/>
      <c r="B208" s="35"/>
      <c r="C208" s="32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/>
      <c r="B209" s="35"/>
      <c r="C209" s="32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/>
      <c r="B210" s="35"/>
      <c r="C210" s="32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/>
      <c r="B211" s="35"/>
      <c r="C211" s="32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/>
      <c r="B212" s="35"/>
      <c r="C212" s="32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/>
      <c r="B213" s="35"/>
      <c r="C213" s="32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/>
      <c r="B214" s="35"/>
      <c r="C214" s="32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/>
      <c r="B215" s="35"/>
      <c r="C215" s="32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/>
      <c r="B216" s="35"/>
      <c r="C216" s="32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/>
      <c r="B217" s="35"/>
      <c r="C217" s="32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/>
      <c r="B218" s="35"/>
      <c r="C218" s="32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/>
      <c r="B219" s="35"/>
      <c r="C219" s="32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/>
      <c r="B220" s="35"/>
      <c r="C220" s="32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/>
      <c r="B221" s="35"/>
      <c r="C221" s="32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/>
      <c r="B222" s="35"/>
      <c r="C222" s="32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/>
      <c r="B223" s="35"/>
      <c r="C223" s="32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/>
      <c r="B224" s="35"/>
      <c r="C224" s="32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/>
      <c r="B225" s="35"/>
      <c r="C225" s="32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/>
      <c r="B226" s="35"/>
      <c r="C226" s="32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/>
      <c r="B227" s="35"/>
      <c r="C227" s="32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/>
      <c r="B228" s="35"/>
      <c r="C228" s="32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/>
      <c r="B229" s="35"/>
      <c r="C229" s="32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/>
      <c r="B230" s="35"/>
      <c r="C230" s="32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/>
      <c r="B231" s="35"/>
      <c r="C231" s="32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/>
      <c r="B232" s="35"/>
      <c r="C232" s="32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/>
      <c r="B233" s="35"/>
      <c r="C233" s="32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/>
      <c r="B234" s="35"/>
      <c r="C234" s="32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/>
      <c r="B235" s="35"/>
      <c r="C235" s="32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/>
      <c r="B236" s="35"/>
      <c r="C236" s="32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/>
      <c r="B237" s="35"/>
      <c r="C237" s="32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/>
      <c r="B238" s="35"/>
      <c r="C238" s="32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/>
      <c r="B239" s="35"/>
      <c r="C239" s="32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/>
      <c r="B240" s="35"/>
      <c r="C240" s="32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/>
      <c r="B241" s="35"/>
      <c r="C241" s="32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/>
      <c r="B242" s="35"/>
      <c r="C242" s="32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/>
      <c r="B243" s="35"/>
      <c r="C243" s="32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/>
      <c r="B244" s="35"/>
      <c r="C244" s="32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8"/>
      <c r="B245" s="35"/>
      <c r="C245" s="32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/>
      <c r="B246" s="35"/>
      <c r="C246" s="32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/>
      <c r="B247" s="35"/>
      <c r="C247" s="32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/>
      <c r="B248" s="35"/>
      <c r="C248" s="32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/>
      <c r="B249" s="35"/>
      <c r="C249" s="32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/>
      <c r="B250" s="35"/>
      <c r="C250" s="32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/>
      <c r="B251" s="35"/>
      <c r="C251" s="32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/>
      <c r="B252" s="35"/>
      <c r="C252" s="32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/>
      <c r="B253" s="35"/>
      <c r="C253" s="32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/>
      <c r="B254" s="35"/>
      <c r="C254" s="32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/>
      <c r="B255" s="35"/>
      <c r="C255" s="32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/>
      <c r="B256" s="35"/>
      <c r="C256" s="32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8"/>
      <c r="B257" s="35"/>
      <c r="C257" s="32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8"/>
      <c r="B258" s="35"/>
      <c r="C258" s="32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8"/>
      <c r="B259" s="35"/>
      <c r="C259" s="32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8"/>
      <c r="B260" s="35"/>
      <c r="C260" s="32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8"/>
      <c r="B261" s="35"/>
      <c r="C261" s="32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8"/>
      <c r="B262" s="35"/>
      <c r="C262" s="32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8"/>
      <c r="B263" s="35"/>
      <c r="C263" s="32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8"/>
      <c r="B264" s="35"/>
      <c r="C264" s="32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8"/>
      <c r="B265" s="35"/>
      <c r="C265" s="32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8"/>
      <c r="B266" s="35"/>
      <c r="C266" s="32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8"/>
      <c r="B267" s="35"/>
      <c r="C267" s="32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8"/>
      <c r="B268" s="35"/>
      <c r="C268" s="32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8"/>
      <c r="B269" s="35"/>
      <c r="C269" s="32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8"/>
      <c r="B270" s="35"/>
      <c r="C270" s="32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8"/>
      <c r="B271" s="35"/>
      <c r="C271" s="32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8"/>
      <c r="B272" s="35"/>
      <c r="C272" s="32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8"/>
      <c r="B273" s="35"/>
      <c r="C273" s="32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8"/>
      <c r="B274" s="35"/>
      <c r="C274" s="32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8"/>
      <c r="B275" s="35"/>
      <c r="C275" s="32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8"/>
      <c r="B276" s="35"/>
      <c r="C276" s="32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8"/>
      <c r="B277" s="35"/>
      <c r="C277" s="32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8"/>
      <c r="B278" s="35"/>
      <c r="C278" s="32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8"/>
      <c r="B279" s="35"/>
      <c r="C279" s="32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8"/>
      <c r="B280" s="35"/>
      <c r="C280" s="32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8"/>
      <c r="B281" s="35"/>
      <c r="C281" s="32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8"/>
      <c r="B282" s="35"/>
      <c r="C282" s="32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8"/>
      <c r="B283" s="35"/>
      <c r="C283" s="32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8"/>
      <c r="B284" s="35"/>
      <c r="C284" s="32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8"/>
      <c r="B285" s="35"/>
      <c r="C285" s="32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8"/>
      <c r="B286" s="35"/>
      <c r="C286" s="32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8"/>
      <c r="B287" s="35"/>
      <c r="C287" s="32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8"/>
      <c r="B288" s="35"/>
      <c r="C288" s="32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8"/>
      <c r="B289" s="35"/>
      <c r="C289" s="32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8"/>
      <c r="B290" s="35"/>
      <c r="C290" s="32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8"/>
      <c r="B291" s="35"/>
      <c r="C291" s="32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8"/>
      <c r="B292" s="35"/>
      <c r="C292" s="32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8"/>
      <c r="B293" s="35"/>
      <c r="C293" s="32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8"/>
      <c r="B294" s="35"/>
      <c r="C294" s="32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8"/>
      <c r="B295" s="35"/>
      <c r="C295" s="32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8"/>
      <c r="B296" s="35"/>
      <c r="C296" s="32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8"/>
      <c r="B297" s="35"/>
      <c r="C297" s="32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8"/>
      <c r="B298" s="35"/>
      <c r="C298" s="32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8"/>
      <c r="B299" s="35"/>
      <c r="C299" s="32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8"/>
      <c r="B300" s="35"/>
      <c r="C300" s="32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8"/>
      <c r="B301" s="35"/>
      <c r="C301" s="32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8"/>
      <c r="B302" s="35"/>
      <c r="C302" s="32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8"/>
      <c r="B303" s="35"/>
      <c r="C303" s="32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8"/>
      <c r="B304" s="35"/>
      <c r="C304" s="32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8"/>
      <c r="B305" s="35"/>
      <c r="C305" s="32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8"/>
      <c r="B306" s="35"/>
      <c r="C306" s="32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8"/>
      <c r="B307" s="35"/>
      <c r="C307" s="32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8"/>
      <c r="B308" s="35"/>
      <c r="C308" s="32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8"/>
      <c r="B309" s="35"/>
      <c r="C309" s="32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8"/>
      <c r="B310" s="35"/>
      <c r="C310" s="32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8"/>
      <c r="B311" s="35"/>
      <c r="C311" s="32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8"/>
      <c r="B312" s="35"/>
      <c r="C312" s="32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8"/>
      <c r="B313" s="35"/>
      <c r="C313" s="32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8"/>
      <c r="B314" s="35"/>
      <c r="C314" s="32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8"/>
      <c r="B315" s="35"/>
      <c r="C315" s="32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8"/>
      <c r="B316" s="35"/>
      <c r="C316" s="32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8"/>
      <c r="B317" s="35"/>
      <c r="C317" s="32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8"/>
      <c r="B318" s="35"/>
      <c r="C318" s="32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8"/>
      <c r="B319" s="35"/>
      <c r="C319" s="32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8"/>
      <c r="B320" s="35"/>
      <c r="C320" s="32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8"/>
      <c r="B321" s="35"/>
      <c r="C321" s="32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8"/>
      <c r="B322" s="35"/>
      <c r="C322" s="32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8"/>
      <c r="B323" s="35"/>
      <c r="C323" s="32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8"/>
      <c r="B324" s="35"/>
      <c r="C324" s="32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8"/>
      <c r="B325" s="35"/>
      <c r="C325" s="32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8"/>
      <c r="B326" s="35"/>
      <c r="C326" s="32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8"/>
      <c r="B327" s="35"/>
      <c r="C327" s="32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8"/>
      <c r="B328" s="35"/>
      <c r="C328" s="32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8"/>
      <c r="B329" s="35"/>
      <c r="C329" s="32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8"/>
      <c r="B330" s="35"/>
      <c r="C330" s="32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8"/>
      <c r="B331" s="35"/>
      <c r="C331" s="32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8"/>
      <c r="B332" s="35"/>
      <c r="C332" s="32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8"/>
      <c r="B333" s="35"/>
      <c r="C333" s="32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8"/>
      <c r="B334" s="35"/>
      <c r="C334" s="32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8"/>
      <c r="B335" s="35"/>
      <c r="C335" s="32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8"/>
      <c r="B336" s="35"/>
      <c r="C336" s="32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8"/>
      <c r="B337" s="35"/>
      <c r="C337" s="32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8"/>
      <c r="B338" s="35"/>
      <c r="C338" s="32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8"/>
      <c r="B339" s="35"/>
      <c r="C339" s="32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8"/>
      <c r="B340" s="35"/>
      <c r="C340" s="32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8"/>
      <c r="B341" s="35"/>
      <c r="C341" s="32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8"/>
      <c r="B342" s="35"/>
      <c r="C342" s="32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8"/>
      <c r="B343" s="35"/>
      <c r="C343" s="32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8"/>
      <c r="B344" s="35"/>
      <c r="C344" s="32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8"/>
      <c r="B345" s="35"/>
      <c r="C345" s="32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8"/>
      <c r="B346" s="35"/>
      <c r="C346" s="32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8"/>
      <c r="B347" s="35"/>
      <c r="C347" s="32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8"/>
      <c r="B348" s="35"/>
      <c r="C348" s="32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8"/>
      <c r="B349" s="35"/>
      <c r="C349" s="32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8"/>
      <c r="B350" s="35"/>
      <c r="C350" s="32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8"/>
      <c r="B351" s="35"/>
      <c r="C351" s="32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8"/>
      <c r="B352" s="35"/>
      <c r="C352" s="32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8"/>
      <c r="B353" s="35"/>
      <c r="C353" s="32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8"/>
      <c r="B354" s="35"/>
      <c r="C354" s="32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8"/>
      <c r="B355" s="35"/>
      <c r="C355" s="32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8"/>
      <c r="B356" s="35"/>
      <c r="C356" s="32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8"/>
      <c r="B357" s="35"/>
      <c r="C357" s="32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8"/>
      <c r="B358" s="35"/>
      <c r="C358" s="32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8"/>
      <c r="B359" s="35"/>
      <c r="C359" s="32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8"/>
      <c r="B360" s="35"/>
      <c r="C360" s="32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8"/>
      <c r="B361" s="35"/>
      <c r="C361" s="32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8"/>
      <c r="B362" s="35"/>
      <c r="C362" s="32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8"/>
      <c r="B363" s="35"/>
      <c r="C363" s="32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8"/>
      <c r="B364" s="35"/>
      <c r="C364" s="32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8"/>
      <c r="B365" s="35"/>
      <c r="C365" s="32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8"/>
      <c r="B366" s="35"/>
      <c r="C366" s="32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8"/>
      <c r="B367" s="35"/>
      <c r="C367" s="32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8"/>
      <c r="B368" s="35"/>
      <c r="C368" s="32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8"/>
      <c r="B369" s="35"/>
      <c r="C369" s="32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8"/>
      <c r="B370" s="35"/>
      <c r="C370" s="32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8"/>
      <c r="B371" s="35"/>
      <c r="C371" s="32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8"/>
      <c r="B372" s="35"/>
      <c r="C372" s="32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8"/>
      <c r="B373" s="35"/>
      <c r="C373" s="32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8"/>
      <c r="B374" s="35"/>
      <c r="C374" s="32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8"/>
      <c r="B375" s="35"/>
      <c r="C375" s="32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8"/>
      <c r="B376" s="35"/>
      <c r="C376" s="32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8"/>
      <c r="B377" s="35"/>
      <c r="C377" s="32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8"/>
      <c r="B378" s="35"/>
      <c r="C378" s="32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8"/>
      <c r="B379" s="35"/>
      <c r="C379" s="32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8"/>
      <c r="B380" s="35"/>
      <c r="C380" s="32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8"/>
      <c r="B381" s="35"/>
      <c r="C381" s="32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8"/>
      <c r="B382" s="35"/>
      <c r="C382" s="32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8"/>
      <c r="B383" s="35"/>
      <c r="C383" s="32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8"/>
      <c r="B384" s="35"/>
      <c r="C384" s="32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8"/>
      <c r="B385" s="35"/>
      <c r="C385" s="32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8"/>
      <c r="B386" s="35"/>
      <c r="C386" s="32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8"/>
      <c r="B387" s="35"/>
      <c r="C387" s="32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8"/>
      <c r="B388" s="35"/>
      <c r="C388" s="32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8"/>
      <c r="B389" s="35"/>
      <c r="C389" s="32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8"/>
      <c r="B390" s="35"/>
      <c r="C390" s="32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8"/>
      <c r="B391" s="35"/>
      <c r="C391" s="32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8"/>
      <c r="B392" s="35"/>
      <c r="C392" s="32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8"/>
      <c r="B393" s="35"/>
      <c r="C393" s="32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8"/>
      <c r="B394" s="35"/>
      <c r="C394" s="32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8"/>
      <c r="B395" s="35"/>
      <c r="C395" s="32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8"/>
      <c r="B396" s="35"/>
      <c r="C396" s="32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8"/>
      <c r="B397" s="35"/>
      <c r="C397" s="32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8"/>
      <c r="B398" s="35"/>
      <c r="C398" s="32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8"/>
      <c r="B399" s="35"/>
      <c r="C399" s="32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8"/>
      <c r="B400" s="35"/>
      <c r="C400" s="32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8"/>
      <c r="B401" s="35"/>
      <c r="C401" s="32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8"/>
      <c r="B402" s="35"/>
      <c r="C402" s="32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8"/>
      <c r="B403" s="35"/>
      <c r="C403" s="32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8"/>
      <c r="B404" s="35"/>
      <c r="C404" s="32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8"/>
      <c r="B405" s="35"/>
      <c r="C405" s="32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8"/>
      <c r="B406" s="35"/>
      <c r="C406" s="32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8"/>
      <c r="B407" s="35"/>
      <c r="C407" s="32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8"/>
      <c r="B408" s="35"/>
      <c r="C408" s="32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8"/>
      <c r="B409" s="35"/>
      <c r="C409" s="32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8"/>
      <c r="B410" s="35"/>
      <c r="C410" s="32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8"/>
      <c r="B411" s="35"/>
      <c r="C411" s="32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8"/>
      <c r="B412" s="35"/>
      <c r="C412" s="32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8"/>
      <c r="B413" s="35"/>
      <c r="C413" s="32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8"/>
      <c r="B414" s="35"/>
      <c r="C414" s="32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8"/>
      <c r="B415" s="35"/>
      <c r="C415" s="32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8"/>
      <c r="B416" s="35"/>
      <c r="C416" s="32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8"/>
      <c r="B417" s="35"/>
      <c r="C417" s="32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8"/>
      <c r="B418" s="35"/>
      <c r="C418" s="32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8"/>
      <c r="B419" s="35"/>
      <c r="C419" s="32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8"/>
      <c r="B420" s="35"/>
      <c r="C420" s="32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8"/>
      <c r="B421" s="35"/>
      <c r="C421" s="32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8"/>
      <c r="B422" s="35"/>
      <c r="C422" s="32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8"/>
      <c r="B423" s="35"/>
      <c r="C423" s="32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8"/>
      <c r="B424" s="35"/>
      <c r="C424" s="32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8"/>
      <c r="B425" s="35"/>
      <c r="C425" s="32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8"/>
      <c r="B426" s="35"/>
      <c r="C426" s="32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8"/>
      <c r="B427" s="35"/>
      <c r="C427" s="32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8"/>
      <c r="B428" s="35"/>
      <c r="C428" s="32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8"/>
      <c r="B429" s="35"/>
      <c r="C429" s="32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8"/>
      <c r="B430" s="35"/>
      <c r="C430" s="32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8"/>
      <c r="B431" s="35"/>
      <c r="C431" s="32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8"/>
      <c r="B432" s="35"/>
      <c r="C432" s="32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8"/>
      <c r="B433" s="35"/>
      <c r="C433" s="32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8"/>
      <c r="B434" s="35"/>
      <c r="C434" s="32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8"/>
      <c r="B435" s="35"/>
      <c r="C435" s="32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8"/>
      <c r="B436" s="35"/>
      <c r="C436" s="32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8"/>
      <c r="B437" s="35"/>
      <c r="C437" s="32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8"/>
      <c r="B438" s="35"/>
      <c r="C438" s="32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8"/>
      <c r="B439" s="35"/>
      <c r="C439" s="32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8"/>
      <c r="B440" s="35"/>
      <c r="C440" s="32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8"/>
      <c r="B441" s="35"/>
      <c r="C441" s="32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8"/>
      <c r="B442" s="35"/>
      <c r="C442" s="32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8"/>
      <c r="B443" s="35"/>
      <c r="C443" s="32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8"/>
      <c r="B444" s="35"/>
      <c r="C444" s="32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8"/>
      <c r="B445" s="35"/>
      <c r="C445" s="32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8"/>
      <c r="B446" s="35"/>
      <c r="C446" s="32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8"/>
      <c r="B447" s="35"/>
      <c r="C447" s="32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8"/>
      <c r="B448" s="35"/>
      <c r="C448" s="32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8"/>
      <c r="B449" s="35"/>
      <c r="C449" s="32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8"/>
      <c r="B450" s="35"/>
      <c r="C450" s="32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8"/>
      <c r="B451" s="35"/>
      <c r="C451" s="32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8"/>
      <c r="B452" s="35"/>
      <c r="C452" s="32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8"/>
      <c r="B453" s="35"/>
      <c r="C453" s="32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8"/>
      <c r="B454" s="35"/>
      <c r="C454" s="32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8"/>
      <c r="B455" s="35"/>
      <c r="C455" s="32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8"/>
      <c r="B456" s="35"/>
      <c r="C456" s="32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8"/>
      <c r="B457" s="35"/>
      <c r="C457" s="32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8"/>
      <c r="B458" s="35"/>
      <c r="C458" s="32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8"/>
      <c r="B459" s="35"/>
      <c r="C459" s="32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8"/>
      <c r="B460" s="35"/>
      <c r="C460" s="32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8"/>
      <c r="B461" s="35"/>
      <c r="C461" s="32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8"/>
      <c r="B462" s="35"/>
      <c r="C462" s="32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8"/>
      <c r="B463" s="35"/>
      <c r="C463" s="32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8"/>
      <c r="B464" s="35"/>
      <c r="C464" s="32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8"/>
      <c r="B465" s="35"/>
      <c r="C465" s="32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8"/>
      <c r="B466" s="35"/>
      <c r="C466" s="32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8"/>
      <c r="B467" s="35"/>
      <c r="C467" s="32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8"/>
      <c r="B468" s="35"/>
      <c r="C468" s="32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8"/>
      <c r="B469" s="35"/>
      <c r="C469" s="32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8"/>
      <c r="B470" s="35"/>
      <c r="C470" s="32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8"/>
      <c r="B471" s="35"/>
      <c r="C471" s="32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8"/>
      <c r="B472" s="35"/>
      <c r="C472" s="32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8"/>
      <c r="B473" s="35"/>
      <c r="C473" s="32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8"/>
      <c r="B474" s="35"/>
      <c r="C474" s="32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8"/>
      <c r="B475" s="35"/>
      <c r="C475" s="32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8"/>
      <c r="B476" s="35"/>
      <c r="C476" s="32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8"/>
      <c r="B477" s="35"/>
      <c r="C477" s="32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8"/>
      <c r="B478" s="35"/>
      <c r="C478" s="32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8"/>
      <c r="B479" s="35"/>
      <c r="C479" s="32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8"/>
      <c r="B480" s="35"/>
      <c r="C480" s="32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8"/>
      <c r="B481" s="35"/>
      <c r="C481" s="32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8"/>
      <c r="B482" s="35"/>
      <c r="C482" s="32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8"/>
      <c r="B483" s="35"/>
      <c r="C483" s="32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8"/>
      <c r="B484" s="35"/>
      <c r="C484" s="32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8"/>
      <c r="B485" s="35"/>
      <c r="C485" s="32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8"/>
      <c r="B486" s="35"/>
      <c r="C486" s="32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8"/>
      <c r="B487" s="35"/>
      <c r="C487" s="32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8"/>
      <c r="B488" s="35"/>
      <c r="C488" s="32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8"/>
      <c r="B489" s="35"/>
      <c r="C489" s="32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8"/>
      <c r="B490" s="35"/>
      <c r="C490" s="32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8"/>
      <c r="B491" s="35"/>
      <c r="C491" s="32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8"/>
      <c r="B492" s="35"/>
      <c r="C492" s="32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8"/>
      <c r="B493" s="35"/>
      <c r="C493" s="32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8"/>
      <c r="B494" s="35"/>
      <c r="C494" s="32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8"/>
      <c r="B495" s="35"/>
      <c r="C495" s="32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8"/>
      <c r="B496" s="35"/>
      <c r="C496" s="32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8"/>
      <c r="B497" s="35"/>
      <c r="C497" s="32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8"/>
      <c r="B498" s="35"/>
      <c r="C498" s="32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8"/>
      <c r="B499" s="35"/>
      <c r="C499" s="32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8"/>
      <c r="B500" s="35"/>
      <c r="C500" s="32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8"/>
      <c r="B501" s="35"/>
      <c r="C501" s="32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8"/>
      <c r="B502" s="35"/>
      <c r="C502" s="32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8"/>
      <c r="B503" s="35"/>
      <c r="C503" s="32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8"/>
      <c r="B504" s="35"/>
      <c r="C504" s="32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8"/>
      <c r="B505" s="35"/>
      <c r="C505" s="32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8"/>
      <c r="B506" s="35"/>
      <c r="C506" s="32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8"/>
      <c r="B507" s="35"/>
      <c r="C507" s="32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8"/>
      <c r="B508" s="35"/>
      <c r="C508" s="32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8"/>
      <c r="B509" s="35"/>
      <c r="C509" s="32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8"/>
      <c r="B510" s="35"/>
      <c r="C510" s="32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8"/>
      <c r="B511" s="35"/>
      <c r="C511" s="32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8"/>
      <c r="B512" s="35"/>
      <c r="C512" s="32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8"/>
      <c r="B513" s="35"/>
      <c r="C513" s="32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8"/>
      <c r="B514" s="35"/>
      <c r="C514" s="32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8"/>
      <c r="B515" s="35"/>
      <c r="C515" s="32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8"/>
      <c r="B516" s="35"/>
      <c r="C516" s="32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8"/>
      <c r="B517" s="35"/>
      <c r="C517" s="32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8"/>
      <c r="B518" s="35"/>
      <c r="C518" s="32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8"/>
      <c r="B519" s="35"/>
      <c r="C519" s="32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8"/>
      <c r="B520" s="35"/>
      <c r="C520" s="32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8"/>
      <c r="B521" s="35"/>
      <c r="C521" s="32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8"/>
      <c r="B522" s="35"/>
      <c r="C522" s="32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8"/>
      <c r="B523" s="35"/>
      <c r="C523" s="32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8"/>
      <c r="B524" s="35"/>
      <c r="C524" s="32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8"/>
      <c r="B525" s="35"/>
      <c r="C525" s="32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8"/>
      <c r="B526" s="35"/>
      <c r="C526" s="32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8"/>
      <c r="B527" s="35"/>
      <c r="C527" s="32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8"/>
      <c r="B528" s="35"/>
      <c r="C528" s="32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8"/>
      <c r="B529" s="35"/>
      <c r="C529" s="32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8"/>
      <c r="B530" s="35"/>
      <c r="C530" s="32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8"/>
      <c r="B531" s="35"/>
      <c r="C531" s="32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8"/>
      <c r="B532" s="35"/>
      <c r="C532" s="32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8"/>
      <c r="B533" s="35"/>
      <c r="C533" s="32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8"/>
      <c r="B534" s="35"/>
      <c r="C534" s="32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8"/>
      <c r="B535" s="35"/>
      <c r="C535" s="32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8"/>
      <c r="B536" s="35"/>
      <c r="C536" s="32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8"/>
      <c r="B537" s="35"/>
      <c r="C537" s="32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8"/>
      <c r="B538" s="35"/>
      <c r="C538" s="32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8"/>
      <c r="B539" s="35"/>
      <c r="C539" s="32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8"/>
      <c r="B540" s="35"/>
      <c r="C540" s="32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8"/>
      <c r="B541" s="35"/>
      <c r="C541" s="32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8"/>
      <c r="B542" s="35"/>
      <c r="C542" s="32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8"/>
      <c r="B543" s="35"/>
      <c r="C543" s="32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8"/>
      <c r="B544" s="35"/>
      <c r="C544" s="32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8"/>
      <c r="B545" s="35"/>
      <c r="C545" s="32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8"/>
      <c r="B546" s="35"/>
      <c r="C546" s="32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8"/>
      <c r="B547" s="35"/>
      <c r="C547" s="32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8"/>
      <c r="B548" s="35"/>
      <c r="C548" s="32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8"/>
      <c r="B549" s="35"/>
      <c r="C549" s="32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8"/>
      <c r="B550" s="35"/>
      <c r="C550" s="32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8"/>
      <c r="B551" s="35"/>
      <c r="C551" s="32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8"/>
      <c r="B552" s="35"/>
      <c r="C552" s="32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8"/>
      <c r="B553" s="35"/>
      <c r="C553" s="32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8"/>
      <c r="B554" s="35"/>
      <c r="C554" s="32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8"/>
      <c r="B555" s="35"/>
      <c r="C555" s="32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8"/>
      <c r="B556" s="35"/>
      <c r="C556" s="32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8"/>
      <c r="B557" s="35"/>
      <c r="C557" s="32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8"/>
      <c r="B558" s="35"/>
      <c r="C558" s="32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8"/>
      <c r="B559" s="35"/>
      <c r="C559" s="32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8"/>
      <c r="B560" s="35"/>
      <c r="C560" s="32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8"/>
      <c r="B561" s="35"/>
      <c r="C561" s="32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8"/>
      <c r="B562" s="35"/>
      <c r="C562" s="32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8"/>
      <c r="B563" s="35"/>
      <c r="C563" s="32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8"/>
      <c r="B564" s="35"/>
      <c r="C564" s="32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8"/>
      <c r="B565" s="35"/>
      <c r="C565" s="32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8"/>
      <c r="B566" s="35"/>
      <c r="C566" s="32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8"/>
      <c r="B567" s="35"/>
      <c r="C567" s="32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8"/>
      <c r="B568" s="35"/>
      <c r="C568" s="32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8"/>
      <c r="B569" s="35"/>
      <c r="C569" s="32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8"/>
      <c r="B570" s="35"/>
      <c r="C570" s="32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8"/>
      <c r="B571" s="35"/>
      <c r="C571" s="32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8"/>
      <c r="B572" s="35"/>
      <c r="C572" s="32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8"/>
      <c r="B573" s="35"/>
      <c r="C573" s="32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8"/>
      <c r="B574" s="35"/>
      <c r="C574" s="32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8"/>
      <c r="B575" s="35"/>
      <c r="C575" s="32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8"/>
      <c r="B576" s="35"/>
      <c r="C576" s="32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8"/>
      <c r="B577" s="35"/>
      <c r="C577" s="32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8"/>
      <c r="B578" s="35"/>
      <c r="C578" s="32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8"/>
      <c r="B579" s="35"/>
      <c r="C579" s="32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8"/>
      <c r="B580" s="35"/>
      <c r="C580" s="32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8"/>
      <c r="B581" s="35"/>
      <c r="C581" s="32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8"/>
      <c r="B582" s="35"/>
      <c r="C582" s="32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8"/>
      <c r="B583" s="35"/>
      <c r="C583" s="32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8"/>
      <c r="B584" s="35"/>
      <c r="C584" s="32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8"/>
      <c r="B585" s="35"/>
      <c r="C585" s="32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8"/>
      <c r="B586" s="35"/>
      <c r="C586" s="32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8"/>
      <c r="B587" s="35"/>
      <c r="C587" s="32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8"/>
      <c r="B588" s="35"/>
      <c r="C588" s="32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8"/>
      <c r="B589" s="35"/>
      <c r="C589" s="32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8"/>
      <c r="B590" s="35"/>
      <c r="C590" s="32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8"/>
      <c r="B591" s="35"/>
      <c r="C591" s="32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8"/>
      <c r="B592" s="35"/>
      <c r="C592" s="32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8"/>
      <c r="B593" s="35"/>
      <c r="C593" s="32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8"/>
      <c r="B594" s="35"/>
      <c r="C594" s="32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8"/>
      <c r="B595" s="35"/>
      <c r="C595" s="32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8"/>
      <c r="B596" s="35"/>
      <c r="C596" s="32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8"/>
      <c r="B597" s="35"/>
      <c r="C597" s="32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8"/>
      <c r="B598" s="35"/>
      <c r="C598" s="32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8"/>
      <c r="B599" s="35"/>
      <c r="C599" s="32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8"/>
      <c r="B600" s="35"/>
      <c r="C600" s="32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8"/>
      <c r="B601" s="35"/>
      <c r="C601" s="32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8"/>
      <c r="B602" s="35"/>
      <c r="C602" s="32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8"/>
      <c r="B603" s="35"/>
      <c r="C603" s="32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8"/>
      <c r="B604" s="35"/>
      <c r="C604" s="32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8"/>
      <c r="B605" s="35"/>
      <c r="C605" s="32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8"/>
      <c r="B606" s="35"/>
      <c r="C606" s="32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8"/>
      <c r="B607" s="35"/>
      <c r="C607" s="32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8"/>
      <c r="B608" s="35"/>
      <c r="C608" s="32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8"/>
      <c r="B609" s="35"/>
      <c r="C609" s="32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8"/>
      <c r="B610" s="35"/>
      <c r="C610" s="32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8"/>
      <c r="B611" s="35"/>
      <c r="C611" s="32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8"/>
      <c r="B612" s="35"/>
      <c r="C612" s="32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8"/>
      <c r="B613" s="35"/>
      <c r="C613" s="32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8"/>
      <c r="B614" s="35"/>
      <c r="C614" s="32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8"/>
      <c r="B615" s="35"/>
      <c r="C615" s="32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8"/>
      <c r="B616" s="35"/>
      <c r="C616" s="32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8"/>
      <c r="B617" s="35"/>
      <c r="C617" s="32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8"/>
      <c r="B618" s="35"/>
      <c r="C618" s="32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8"/>
      <c r="B619" s="35"/>
      <c r="C619" s="32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8"/>
      <c r="B620" s="35"/>
      <c r="C620" s="32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8"/>
      <c r="B621" s="35"/>
      <c r="C621" s="32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8"/>
      <c r="B622" s="35"/>
      <c r="C622" s="32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8"/>
      <c r="B623" s="35"/>
      <c r="C623" s="32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8"/>
      <c r="B624" s="35"/>
      <c r="C624" s="32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8"/>
      <c r="B625" s="35"/>
      <c r="C625" s="32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8"/>
      <c r="B626" s="35"/>
      <c r="C626" s="32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8"/>
      <c r="B627" s="35"/>
      <c r="C627" s="32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8"/>
      <c r="B628" s="35"/>
      <c r="C628" s="32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8"/>
      <c r="B629" s="35"/>
      <c r="C629" s="32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8"/>
      <c r="B630" s="35"/>
      <c r="C630" s="32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8"/>
      <c r="B631" s="35"/>
      <c r="C631" s="32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8"/>
      <c r="B632" s="35"/>
      <c r="C632" s="32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8"/>
      <c r="B633" s="35"/>
      <c r="C633" s="32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8"/>
      <c r="B634" s="35"/>
      <c r="C634" s="32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8"/>
      <c r="B635" s="35"/>
      <c r="C635" s="32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8"/>
      <c r="B636" s="35"/>
      <c r="C636" s="32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8"/>
      <c r="B637" s="35"/>
      <c r="C637" s="32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8"/>
      <c r="B638" s="35"/>
      <c r="C638" s="32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8"/>
      <c r="B639" s="35"/>
      <c r="C639" s="32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8"/>
      <c r="B640" s="35"/>
      <c r="C640" s="32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8"/>
      <c r="B641" s="35"/>
      <c r="C641" s="32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8"/>
      <c r="B642" s="35"/>
      <c r="C642" s="32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8"/>
      <c r="B643" s="35"/>
      <c r="C643" s="32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8"/>
      <c r="B644" s="35"/>
      <c r="C644" s="32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8"/>
      <c r="B645" s="35"/>
      <c r="C645" s="32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8"/>
      <c r="B646" s="35"/>
      <c r="C646" s="32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8"/>
      <c r="B647" s="35"/>
      <c r="C647" s="32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8"/>
      <c r="B648" s="35"/>
      <c r="C648" s="32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8"/>
      <c r="B649" s="35"/>
      <c r="C649" s="32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8"/>
      <c r="B650" s="35"/>
      <c r="C650" s="32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8"/>
      <c r="B651" s="35"/>
      <c r="C651" s="32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8"/>
      <c r="B652" s="35"/>
      <c r="C652" s="32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8"/>
      <c r="B653" s="35"/>
      <c r="C653" s="32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8"/>
      <c r="B654" s="35"/>
      <c r="C654" s="32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8"/>
      <c r="B655" s="35"/>
      <c r="C655" s="32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8"/>
      <c r="B656" s="35"/>
      <c r="C656" s="32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8"/>
      <c r="B657" s="35"/>
      <c r="C657" s="32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8"/>
      <c r="B658" s="35"/>
      <c r="C658" s="32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8"/>
      <c r="B659" s="35"/>
      <c r="C659" s="32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8"/>
      <c r="B660" s="35"/>
      <c r="C660" s="32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8"/>
      <c r="B661" s="35"/>
      <c r="C661" s="32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8"/>
      <c r="B662" s="35"/>
      <c r="C662" s="32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8"/>
      <c r="B663" s="35"/>
      <c r="C663" s="32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8"/>
      <c r="B664" s="35"/>
      <c r="C664" s="32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8"/>
      <c r="B665" s="35"/>
      <c r="C665" s="32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8"/>
      <c r="B666" s="35"/>
      <c r="C666" s="32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8"/>
      <c r="B667" s="35"/>
      <c r="C667" s="32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8"/>
      <c r="B668" s="35"/>
      <c r="C668" s="32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8"/>
      <c r="B669" s="35"/>
      <c r="C669" s="32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8"/>
      <c r="B670" s="35"/>
      <c r="C670" s="32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8"/>
      <c r="B671" s="35"/>
      <c r="C671" s="32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8"/>
      <c r="B672" s="35"/>
      <c r="C672" s="32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8"/>
      <c r="B673" s="35"/>
      <c r="C673" s="32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8"/>
      <c r="B674" s="35"/>
      <c r="C674" s="32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8"/>
      <c r="B675" s="35"/>
      <c r="C675" s="32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8"/>
      <c r="B676" s="35"/>
      <c r="C676" s="32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8"/>
      <c r="B677" s="35"/>
      <c r="C677" s="32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8"/>
      <c r="B678" s="35"/>
      <c r="C678" s="32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8"/>
      <c r="B679" s="35"/>
      <c r="C679" s="32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8"/>
      <c r="B680" s="35"/>
      <c r="C680" s="32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8"/>
      <c r="B681" s="35"/>
      <c r="C681" s="32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8"/>
      <c r="B682" s="35"/>
      <c r="C682" s="32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8"/>
      <c r="B683" s="35"/>
      <c r="C683" s="32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8"/>
      <c r="B684" s="35"/>
      <c r="C684" s="32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8"/>
      <c r="B685" s="35"/>
      <c r="C685" s="32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8"/>
      <c r="B686" s="35"/>
      <c r="C686" s="32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8"/>
      <c r="B687" s="35"/>
      <c r="C687" s="32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8"/>
      <c r="B688" s="35"/>
      <c r="C688" s="32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8"/>
      <c r="B689" s="35"/>
      <c r="C689" s="32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8"/>
      <c r="B690" s="35"/>
      <c r="C690" s="32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8"/>
      <c r="B691" s="35"/>
      <c r="C691" s="32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8"/>
      <c r="B692" s="35"/>
      <c r="C692" s="32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8"/>
      <c r="B693" s="35"/>
      <c r="C693" s="32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8"/>
      <c r="B694" s="35"/>
      <c r="C694" s="32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8"/>
      <c r="B695" s="35"/>
      <c r="C695" s="32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8"/>
      <c r="B696" s="35"/>
      <c r="C696" s="32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8"/>
      <c r="B697" s="35"/>
      <c r="C697" s="32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8"/>
      <c r="B698" s="35"/>
      <c r="C698" s="32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8"/>
      <c r="B699" s="35"/>
      <c r="C699" s="32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8"/>
      <c r="B700" s="35"/>
      <c r="C700" s="32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8"/>
      <c r="B701" s="35"/>
      <c r="C701" s="32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8"/>
      <c r="B702" s="35"/>
      <c r="C702" s="32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8"/>
      <c r="B703" s="35"/>
      <c r="C703" s="32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8"/>
      <c r="B704" s="35"/>
      <c r="C704" s="32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8"/>
      <c r="B705" s="35"/>
      <c r="C705" s="32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8"/>
      <c r="B706" s="35"/>
      <c r="C706" s="32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8"/>
      <c r="B707" s="35"/>
      <c r="C707" s="32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8"/>
      <c r="B708" s="35"/>
      <c r="C708" s="32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8"/>
      <c r="B709" s="35"/>
      <c r="C709" s="32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8"/>
      <c r="B710" s="35"/>
      <c r="C710" s="32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8"/>
      <c r="B711" s="35"/>
      <c r="C711" s="32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8"/>
      <c r="B712" s="35"/>
      <c r="C712" s="32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8"/>
      <c r="B713" s="35"/>
      <c r="C713" s="32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8"/>
      <c r="B714" s="35"/>
      <c r="C714" s="32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8"/>
      <c r="B715" s="35"/>
      <c r="C715" s="32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8"/>
      <c r="B716" s="35"/>
      <c r="C716" s="32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8"/>
      <c r="B717" s="35"/>
      <c r="C717" s="32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8"/>
      <c r="B718" s="35"/>
      <c r="C718" s="32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8"/>
      <c r="B719" s="35"/>
      <c r="C719" s="32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8"/>
      <c r="B720" s="35"/>
      <c r="C720" s="32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8"/>
      <c r="B721" s="35"/>
      <c r="C721" s="32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8"/>
      <c r="B722" s="35"/>
      <c r="C722" s="32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8"/>
      <c r="B723" s="35"/>
      <c r="C723" s="32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8"/>
      <c r="B724" s="35"/>
      <c r="C724" s="32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8"/>
      <c r="B725" s="35"/>
      <c r="C725" s="32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8"/>
      <c r="B726" s="35"/>
      <c r="C726" s="32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8"/>
      <c r="B727" s="35"/>
      <c r="C727" s="32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8"/>
      <c r="B728" s="35"/>
      <c r="C728" s="32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8"/>
      <c r="B729" s="35"/>
      <c r="C729" s="32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8"/>
      <c r="B730" s="35"/>
      <c r="C730" s="32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8"/>
      <c r="B731" s="35"/>
      <c r="C731" s="32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8"/>
      <c r="B732" s="35"/>
      <c r="C732" s="32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8"/>
      <c r="B733" s="35"/>
      <c r="C733" s="32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8"/>
      <c r="B734" s="35"/>
      <c r="C734" s="32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8"/>
      <c r="B735" s="35"/>
      <c r="C735" s="32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8"/>
      <c r="B736" s="35"/>
      <c r="C736" s="32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8"/>
      <c r="B737" s="35"/>
      <c r="C737" s="32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8"/>
      <c r="B738" s="35"/>
      <c r="C738" s="32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8"/>
      <c r="B739" s="35"/>
      <c r="C739" s="32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8"/>
      <c r="B740" s="35"/>
      <c r="C740" s="32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8"/>
      <c r="B741" s="35"/>
      <c r="C741" s="32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8"/>
      <c r="B742" s="35"/>
      <c r="C742" s="32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8"/>
      <c r="B743" s="35"/>
      <c r="C743" s="32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8"/>
      <c r="B744" s="35"/>
      <c r="C744" s="32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8"/>
      <c r="B745" s="35"/>
      <c r="C745" s="32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8"/>
      <c r="B746" s="35"/>
      <c r="C746" s="32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8"/>
      <c r="B747" s="35"/>
      <c r="C747" s="32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8"/>
      <c r="B748" s="35"/>
      <c r="C748" s="32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8"/>
      <c r="B749" s="35"/>
      <c r="C749" s="32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8"/>
      <c r="B750" s="35"/>
      <c r="C750" s="32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8"/>
      <c r="B751" s="35"/>
      <c r="C751" s="32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8"/>
      <c r="B752" s="35"/>
      <c r="C752" s="32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8"/>
      <c r="B753" s="35"/>
      <c r="C753" s="32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8"/>
      <c r="B754" s="35"/>
      <c r="C754" s="32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8"/>
      <c r="B755" s="35"/>
      <c r="C755" s="32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8"/>
      <c r="B756" s="35"/>
      <c r="C756" s="32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8"/>
      <c r="B757" s="35"/>
      <c r="C757" s="32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8"/>
      <c r="B758" s="35"/>
      <c r="C758" s="32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8"/>
      <c r="B759" s="35"/>
      <c r="C759" s="32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8"/>
      <c r="B760" s="35"/>
      <c r="C760" s="32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8"/>
      <c r="B761" s="35"/>
      <c r="C761" s="32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8"/>
      <c r="B762" s="35"/>
      <c r="C762" s="32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8"/>
      <c r="B763" s="35"/>
      <c r="C763" s="32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8"/>
      <c r="B764" s="35"/>
      <c r="C764" s="32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8"/>
      <c r="B765" s="35"/>
      <c r="C765" s="32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8"/>
      <c r="B766" s="35"/>
      <c r="C766" s="32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8"/>
      <c r="B767" s="35"/>
      <c r="C767" s="32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8"/>
      <c r="B768" s="35"/>
      <c r="C768" s="32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8"/>
      <c r="B769" s="35"/>
      <c r="C769" s="32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8"/>
      <c r="B770" s="35"/>
      <c r="C770" s="32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8"/>
      <c r="B771" s="35"/>
      <c r="C771" s="32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8"/>
      <c r="B772" s="35"/>
      <c r="C772" s="32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8"/>
      <c r="B773" s="35"/>
      <c r="C773" s="32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8"/>
      <c r="B774" s="35"/>
      <c r="C774" s="32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8"/>
      <c r="B775" s="35"/>
      <c r="C775" s="32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8"/>
      <c r="B776" s="35"/>
      <c r="C776" s="32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8"/>
      <c r="B777" s="35"/>
      <c r="C777" s="32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8"/>
      <c r="B778" s="35"/>
      <c r="C778" s="32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8"/>
      <c r="B779" s="35"/>
      <c r="C779" s="32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8"/>
      <c r="B780" s="35"/>
      <c r="C780" s="32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8"/>
      <c r="B781" s="35"/>
      <c r="C781" s="32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8"/>
      <c r="B782" s="35"/>
      <c r="C782" s="32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8"/>
      <c r="B783" s="35"/>
      <c r="C783" s="32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8"/>
      <c r="B784" s="35"/>
      <c r="C784" s="32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8"/>
      <c r="B785" s="35"/>
      <c r="C785" s="32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8"/>
      <c r="B786" s="35"/>
      <c r="C786" s="32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8"/>
      <c r="B787" s="35"/>
      <c r="C787" s="32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8"/>
      <c r="B788" s="35"/>
      <c r="C788" s="32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8"/>
      <c r="B789" s="35"/>
      <c r="C789" s="32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8"/>
      <c r="B790" s="35"/>
      <c r="C790" s="32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8"/>
      <c r="B791" s="35"/>
      <c r="C791" s="32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8"/>
      <c r="B792" s="35"/>
      <c r="C792" s="32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8"/>
      <c r="B793" s="35"/>
      <c r="C793" s="32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8"/>
      <c r="B794" s="35"/>
      <c r="C794" s="32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8"/>
      <c r="B795" s="35"/>
      <c r="C795" s="32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8"/>
      <c r="B796" s="35"/>
      <c r="C796" s="32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8"/>
      <c r="B797" s="35"/>
      <c r="C797" s="32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8"/>
      <c r="B798" s="35"/>
      <c r="C798" s="32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8"/>
      <c r="B799" s="35"/>
      <c r="C799" s="32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8"/>
      <c r="B800" s="35"/>
      <c r="C800" s="32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8"/>
      <c r="B801" s="35"/>
      <c r="C801" s="32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8"/>
      <c r="B802" s="35"/>
      <c r="C802" s="32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8"/>
      <c r="B803" s="35"/>
      <c r="C803" s="32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8"/>
      <c r="B804" s="35"/>
      <c r="C804" s="32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8"/>
      <c r="B805" s="35"/>
      <c r="C805" s="32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8"/>
      <c r="B806" s="35"/>
      <c r="C806" s="32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8"/>
      <c r="B807" s="35"/>
      <c r="C807" s="32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8"/>
      <c r="B808" s="35"/>
      <c r="C808" s="32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8"/>
      <c r="B809" s="35"/>
      <c r="C809" s="32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8"/>
      <c r="B810" s="35"/>
      <c r="C810" s="32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8"/>
      <c r="B811" s="35"/>
      <c r="C811" s="32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8"/>
      <c r="B812" s="35"/>
      <c r="C812" s="32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8"/>
      <c r="B813" s="35"/>
      <c r="C813" s="32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8"/>
      <c r="B814" s="35"/>
      <c r="C814" s="32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8"/>
      <c r="B815" s="35"/>
      <c r="C815" s="32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8"/>
      <c r="B816" s="35"/>
      <c r="C816" s="32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8"/>
      <c r="B817" s="35"/>
      <c r="C817" s="32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8"/>
      <c r="B818" s="35"/>
      <c r="C818" s="32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8"/>
      <c r="B819" s="35"/>
      <c r="C819" s="32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8"/>
      <c r="B820" s="35"/>
      <c r="C820" s="32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8"/>
      <c r="B821" s="35"/>
      <c r="C821" s="32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8"/>
      <c r="B822" s="35"/>
      <c r="C822" s="32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8"/>
      <c r="B823" s="35"/>
      <c r="C823" s="32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8"/>
      <c r="B824" s="35"/>
      <c r="C824" s="32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8"/>
      <c r="B825" s="35"/>
      <c r="C825" s="32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8"/>
      <c r="B826" s="35"/>
      <c r="C826" s="32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8"/>
      <c r="B827" s="35"/>
      <c r="C827" s="32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8"/>
      <c r="B828" s="35"/>
      <c r="C828" s="32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8"/>
      <c r="B829" s="35"/>
      <c r="C829" s="32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8"/>
      <c r="B830" s="35"/>
      <c r="C830" s="32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8"/>
      <c r="B831" s="35"/>
      <c r="C831" s="32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8"/>
      <c r="B832" s="35"/>
      <c r="C832" s="32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8"/>
      <c r="B833" s="35"/>
      <c r="C833" s="32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8"/>
      <c r="B834" s="35"/>
      <c r="C834" s="32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8"/>
      <c r="B835" s="35"/>
      <c r="C835" s="32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8"/>
      <c r="B836" s="35"/>
      <c r="C836" s="32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8"/>
      <c r="B837" s="35"/>
      <c r="C837" s="32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8"/>
      <c r="B838" s="35"/>
      <c r="C838" s="32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8"/>
      <c r="B839" s="35"/>
      <c r="C839" s="32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8"/>
      <c r="B840" s="35"/>
      <c r="C840" s="32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8"/>
      <c r="B841" s="35"/>
      <c r="C841" s="32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8"/>
      <c r="B842" s="35"/>
      <c r="C842" s="32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8"/>
      <c r="B843" s="35"/>
      <c r="C843" s="32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8"/>
      <c r="B844" s="35"/>
      <c r="C844" s="32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8"/>
      <c r="B845" s="35"/>
      <c r="C845" s="32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8"/>
      <c r="B846" s="35"/>
      <c r="C846" s="32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8"/>
      <c r="B847" s="35"/>
      <c r="C847" s="32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8"/>
      <c r="B848" s="35"/>
      <c r="C848" s="32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8"/>
      <c r="B849" s="35"/>
      <c r="C849" s="32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8"/>
      <c r="B850" s="35"/>
      <c r="C850" s="32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8"/>
      <c r="B851" s="35"/>
      <c r="C851" s="32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8"/>
      <c r="B852" s="35"/>
      <c r="C852" s="32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8"/>
      <c r="B853" s="35"/>
      <c r="C853" s="32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8"/>
      <c r="B854" s="35"/>
      <c r="C854" s="32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8"/>
      <c r="B855" s="35"/>
      <c r="C855" s="32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8"/>
      <c r="B856" s="35"/>
      <c r="C856" s="32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8"/>
      <c r="B857" s="35"/>
      <c r="C857" s="32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8"/>
      <c r="B858" s="35"/>
      <c r="C858" s="32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8"/>
      <c r="B859" s="35"/>
      <c r="C859" s="32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8"/>
      <c r="B860" s="35"/>
      <c r="C860" s="32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8"/>
      <c r="B861" s="35"/>
      <c r="C861" s="32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8"/>
      <c r="B862" s="35"/>
      <c r="C862" s="32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8"/>
      <c r="B863" s="35"/>
      <c r="C863" s="32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8"/>
      <c r="B864" s="35"/>
      <c r="C864" s="32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8"/>
      <c r="B865" s="35"/>
      <c r="C865" s="32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8"/>
      <c r="B866" s="35"/>
      <c r="C866" s="32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8"/>
      <c r="B867" s="35"/>
      <c r="C867" s="32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8"/>
      <c r="B868" s="35"/>
      <c r="C868" s="32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8"/>
      <c r="B869" s="35"/>
      <c r="C869" s="32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8"/>
      <c r="B870" s="35"/>
      <c r="C870" s="32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8"/>
      <c r="B871" s="35"/>
      <c r="C871" s="32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8"/>
      <c r="B872" s="35"/>
      <c r="C872" s="32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8"/>
      <c r="B873" s="35"/>
      <c r="C873" s="32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8"/>
      <c r="B874" s="35"/>
      <c r="C874" s="32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8"/>
      <c r="B875" s="35"/>
      <c r="C875" s="32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8"/>
      <c r="B876" s="35"/>
      <c r="C876" s="32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8"/>
      <c r="B877" s="35"/>
      <c r="C877" s="32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8"/>
      <c r="B878" s="35"/>
      <c r="C878" s="32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8"/>
      <c r="B879" s="35"/>
      <c r="C879" s="32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8"/>
      <c r="B880" s="35"/>
      <c r="C880" s="32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8"/>
      <c r="B881" s="35"/>
      <c r="C881" s="32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8"/>
      <c r="B882" s="35"/>
      <c r="C882" s="32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8"/>
      <c r="B883" s="35"/>
      <c r="C883" s="32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8"/>
      <c r="B884" s="35"/>
      <c r="C884" s="32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8"/>
      <c r="B885" s="35"/>
      <c r="C885" s="32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8"/>
      <c r="B886" s="35"/>
      <c r="C886" s="32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8"/>
      <c r="B887" s="35"/>
      <c r="C887" s="32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8"/>
      <c r="B888" s="35"/>
      <c r="C888" s="32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8"/>
      <c r="B889" s="35"/>
      <c r="C889" s="32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8"/>
      <c r="B890" s="35"/>
      <c r="C890" s="32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8"/>
      <c r="B891" s="35"/>
      <c r="C891" s="32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8"/>
      <c r="B892" s="35"/>
      <c r="C892" s="32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8"/>
      <c r="B893" s="35"/>
      <c r="C893" s="32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8"/>
      <c r="B894" s="35"/>
      <c r="C894" s="32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8"/>
      <c r="B895" s="35"/>
      <c r="C895" s="32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8"/>
      <c r="B896" s="35"/>
      <c r="C896" s="32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8"/>
      <c r="B897" s="35"/>
      <c r="C897" s="32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8"/>
      <c r="B898" s="35"/>
      <c r="C898" s="32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8"/>
      <c r="B899" s="35"/>
      <c r="C899" s="32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8"/>
      <c r="B900" s="35"/>
      <c r="C900" s="32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8"/>
      <c r="B901" s="35"/>
      <c r="C901" s="32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8"/>
      <c r="B902" s="35"/>
      <c r="C902" s="32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8"/>
      <c r="B903" s="35"/>
      <c r="C903" s="32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8"/>
      <c r="B904" s="35"/>
      <c r="C904" s="32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8"/>
      <c r="B905" s="35"/>
      <c r="C905" s="32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8"/>
      <c r="B906" s="35"/>
      <c r="C906" s="32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8"/>
      <c r="B907" s="35"/>
      <c r="C907" s="32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8"/>
      <c r="B908" s="35"/>
      <c r="C908" s="32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8"/>
      <c r="B909" s="35"/>
      <c r="C909" s="32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8"/>
      <c r="B910" s="35"/>
      <c r="C910" s="32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8"/>
      <c r="B911" s="35"/>
      <c r="C911" s="32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8"/>
      <c r="B912" s="35"/>
      <c r="C912" s="32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8"/>
      <c r="B913" s="35"/>
      <c r="C913" s="32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8"/>
      <c r="B914" s="35"/>
      <c r="C914" s="32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8"/>
      <c r="B915" s="35"/>
      <c r="C915" s="32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8"/>
      <c r="B916" s="35"/>
      <c r="C916" s="32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8"/>
      <c r="B917" s="35"/>
      <c r="C917" s="32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8"/>
      <c r="B918" s="35"/>
      <c r="C918" s="32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8"/>
      <c r="B919" s="35"/>
      <c r="C919" s="32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8"/>
      <c r="B920" s="35"/>
      <c r="C920" s="32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8"/>
      <c r="B921" s="35"/>
      <c r="C921" s="32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8"/>
      <c r="B922" s="35"/>
      <c r="C922" s="32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8"/>
      <c r="B923" s="35"/>
      <c r="C923" s="32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8"/>
      <c r="B924" s="35"/>
      <c r="C924" s="32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8"/>
      <c r="B925" s="35"/>
      <c r="C925" s="32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8"/>
      <c r="B926" s="35"/>
      <c r="C926" s="32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8"/>
      <c r="B927" s="35"/>
      <c r="C927" s="32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8"/>
      <c r="B928" s="35"/>
      <c r="C928" s="32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8"/>
      <c r="B929" s="35"/>
      <c r="C929" s="32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8"/>
      <c r="B930" s="35"/>
      <c r="C930" s="32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8"/>
      <c r="B931" s="35"/>
      <c r="C931" s="32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8"/>
      <c r="B932" s="35"/>
      <c r="C932" s="32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8"/>
      <c r="B933" s="35"/>
      <c r="C933" s="32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8"/>
      <c r="B934" s="35"/>
      <c r="C934" s="32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8"/>
      <c r="B935" s="35"/>
      <c r="C935" s="32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8"/>
      <c r="B936" s="35"/>
      <c r="C936" s="32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8"/>
      <c r="B937" s="35"/>
      <c r="C937" s="32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8"/>
      <c r="B938" s="35"/>
      <c r="C938" s="32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8"/>
      <c r="B939" s="35"/>
      <c r="C939" s="32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8"/>
      <c r="B940" s="35"/>
      <c r="C940" s="32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8"/>
      <c r="B941" s="35"/>
      <c r="C941" s="32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8"/>
      <c r="B942" s="35"/>
      <c r="C942" s="32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8"/>
      <c r="B943" s="35"/>
      <c r="C943" s="32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8"/>
      <c r="B944" s="35"/>
      <c r="C944" s="32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8"/>
      <c r="B945" s="35"/>
      <c r="C945" s="32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8"/>
      <c r="B946" s="35"/>
      <c r="C946" s="32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8"/>
      <c r="B947" s="35"/>
      <c r="C947" s="32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8"/>
      <c r="B948" s="35"/>
      <c r="C948" s="32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8"/>
      <c r="B949" s="35"/>
      <c r="C949" s="32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8"/>
      <c r="B950" s="35"/>
      <c r="C950" s="32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8"/>
      <c r="B951" s="35"/>
      <c r="C951" s="32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8"/>
      <c r="B952" s="35"/>
      <c r="C952" s="32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8"/>
      <c r="B953" s="35"/>
      <c r="C953" s="32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8"/>
      <c r="B954" s="35"/>
      <c r="C954" s="32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8"/>
      <c r="B955" s="35"/>
      <c r="C955" s="32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8"/>
      <c r="B956" s="35"/>
      <c r="C956" s="32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8"/>
      <c r="B957" s="35"/>
      <c r="C957" s="32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8"/>
      <c r="B958" s="35"/>
      <c r="C958" s="32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8"/>
      <c r="B959" s="35"/>
      <c r="C959" s="32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8"/>
      <c r="B960" s="35"/>
      <c r="C960" s="32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8"/>
      <c r="B961" s="35"/>
      <c r="C961" s="32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8"/>
      <c r="B962" s="35"/>
      <c r="C962" s="32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8"/>
      <c r="B963" s="35"/>
      <c r="C963" s="32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8"/>
      <c r="B964" s="35"/>
      <c r="C964" s="32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8"/>
      <c r="B965" s="35"/>
      <c r="C965" s="32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8"/>
      <c r="B966" s="35"/>
      <c r="C966" s="32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8"/>
      <c r="B967" s="35"/>
      <c r="C967" s="32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8"/>
      <c r="B968" s="35"/>
      <c r="C968" s="32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8"/>
      <c r="B969" s="35"/>
      <c r="C969" s="32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8"/>
      <c r="B970" s="35"/>
      <c r="C970" s="32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8"/>
      <c r="B971" s="35"/>
      <c r="C971" s="32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8"/>
      <c r="B972" s="35"/>
      <c r="C972" s="32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8"/>
      <c r="B973" s="35"/>
      <c r="C973" s="32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8"/>
      <c r="B974" s="35"/>
      <c r="C974" s="32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8"/>
      <c r="B975" s="35"/>
      <c r="C975" s="32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8"/>
      <c r="B976" s="35"/>
      <c r="C976" s="32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8"/>
      <c r="B977" s="35"/>
      <c r="C977" s="32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8"/>
      <c r="B978" s="35"/>
      <c r="C978" s="32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8"/>
      <c r="B979" s="35"/>
      <c r="C979" s="32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8"/>
      <c r="B980" s="35"/>
      <c r="C980" s="32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8"/>
      <c r="B981" s="35"/>
      <c r="C981" s="32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8"/>
      <c r="B982" s="35"/>
      <c r="C982" s="32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8"/>
      <c r="B983" s="35"/>
      <c r="C983" s="32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8"/>
      <c r="B984" s="35"/>
      <c r="C984" s="32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8"/>
      <c r="B985" s="35"/>
      <c r="C985" s="32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8"/>
      <c r="B986" s="35"/>
      <c r="C986" s="32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8"/>
      <c r="B987" s="35"/>
      <c r="C987" s="32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8"/>
      <c r="B988" s="35"/>
      <c r="C988" s="32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8"/>
      <c r="B989" s="35"/>
      <c r="C989" s="32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8"/>
      <c r="B990" s="35"/>
      <c r="C990" s="32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8"/>
      <c r="B991" s="35"/>
      <c r="C991" s="32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8"/>
      <c r="B992" s="35"/>
      <c r="C992" s="32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8"/>
      <c r="B993" s="35"/>
      <c r="C993" s="32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8"/>
      <c r="B994" s="35"/>
      <c r="C994" s="32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8"/>
      <c r="B995" s="35"/>
      <c r="C995" s="32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8"/>
      <c r="B996" s="35"/>
      <c r="C996" s="32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8"/>
      <c r="B997" s="35"/>
      <c r="C997" s="32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conditionalFormatting sqref="B2:B997">
    <cfRule type="cellIs" dxfId="4" priority="1" stopIfTrue="1" operator="lessThan">
      <formula>0</formula>
    </cfRule>
  </conditionalFormatting>
  <conditionalFormatting sqref="B2:B997">
    <cfRule type="cellIs" dxfId="5" priority="2" stopIfTrue="1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8E3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38"/>
    <col customWidth="1" min="4" max="4" width="28.38"/>
    <col customWidth="1" min="5" max="5" width="51.88"/>
    <col customWidth="1" min="6" max="6" width="39.75"/>
    <col customWidth="1" min="7" max="7" width="3.5"/>
  </cols>
  <sheetData>
    <row r="1">
      <c r="A1" s="3" t="s">
        <v>133</v>
      </c>
      <c r="B1" s="3" t="s">
        <v>134</v>
      </c>
      <c r="C1" s="3" t="s">
        <v>70</v>
      </c>
      <c r="D1" s="3" t="s">
        <v>135</v>
      </c>
      <c r="E1" s="3" t="s">
        <v>136</v>
      </c>
      <c r="F1" s="3" t="s">
        <v>27</v>
      </c>
      <c r="G1" s="3" t="s">
        <v>69</v>
      </c>
      <c r="H1" s="3" t="s">
        <v>67</v>
      </c>
      <c r="I1" s="3" t="s">
        <v>122</v>
      </c>
      <c r="J1" s="20"/>
      <c r="K1" s="4"/>
      <c r="L1" s="20"/>
    </row>
    <row r="2">
      <c r="A2" s="36">
        <v>45889.56040509259</v>
      </c>
      <c r="B2" s="37">
        <v>14.45</v>
      </c>
      <c r="C2" s="38" t="s">
        <v>137</v>
      </c>
      <c r="D2" s="38" t="s">
        <v>125</v>
      </c>
      <c r="E2" s="38" t="s">
        <v>138</v>
      </c>
      <c r="F2" s="38" t="s">
        <v>139</v>
      </c>
      <c r="G2" s="38" t="s">
        <v>140</v>
      </c>
      <c r="H2" s="38" t="s">
        <v>141</v>
      </c>
      <c r="I2" s="38" t="s">
        <v>142</v>
      </c>
      <c r="J2" s="3" t="s">
        <v>143</v>
      </c>
    </row>
    <row r="3">
      <c r="A3" s="36">
        <v>45888.65510416667</v>
      </c>
      <c r="B3" s="37">
        <v>-215.32</v>
      </c>
      <c r="C3" s="38" t="s">
        <v>123</v>
      </c>
      <c r="D3" s="38" t="s">
        <v>144</v>
      </c>
      <c r="E3" s="38" t="s">
        <v>145</v>
      </c>
      <c r="F3" s="38" t="s">
        <v>144</v>
      </c>
      <c r="G3" s="38" t="s">
        <v>146</v>
      </c>
      <c r="H3" s="39"/>
      <c r="I3" s="38" t="s">
        <v>147</v>
      </c>
      <c r="J3" s="3" t="s">
        <v>148</v>
      </c>
    </row>
    <row r="4">
      <c r="A4" s="36">
        <v>45888.65429398148</v>
      </c>
      <c r="B4" s="37">
        <v>-189.0</v>
      </c>
      <c r="C4" s="38" t="s">
        <v>123</v>
      </c>
      <c r="D4" s="38" t="s">
        <v>149</v>
      </c>
      <c r="E4" s="38" t="s">
        <v>145</v>
      </c>
      <c r="F4" s="38" t="s">
        <v>149</v>
      </c>
      <c r="G4" s="38" t="s">
        <v>150</v>
      </c>
      <c r="H4" s="39"/>
      <c r="I4" s="38" t="s">
        <v>147</v>
      </c>
      <c r="J4" s="3" t="s">
        <v>151</v>
      </c>
    </row>
    <row r="5">
      <c r="A5" s="36">
        <v>45888.65425925926</v>
      </c>
      <c r="B5" s="37">
        <v>189.0</v>
      </c>
      <c r="C5" s="38" t="s">
        <v>152</v>
      </c>
      <c r="D5" s="38" t="s">
        <v>123</v>
      </c>
      <c r="E5" s="38" t="s">
        <v>153</v>
      </c>
      <c r="F5" s="38" t="s">
        <v>154</v>
      </c>
      <c r="G5" s="38" t="s">
        <v>155</v>
      </c>
      <c r="H5" s="39"/>
      <c r="I5" s="38" t="s">
        <v>156</v>
      </c>
      <c r="J5" s="3" t="s">
        <v>157</v>
      </c>
    </row>
    <row r="6">
      <c r="A6" s="36">
        <v>45888.62971064815</v>
      </c>
      <c r="B6" s="37">
        <v>312.0</v>
      </c>
      <c r="C6" s="38" t="s">
        <v>158</v>
      </c>
      <c r="D6" s="38" t="s">
        <v>123</v>
      </c>
      <c r="E6" s="38" t="s">
        <v>159</v>
      </c>
      <c r="F6" s="39"/>
      <c r="G6" s="38" t="s">
        <v>160</v>
      </c>
      <c r="H6" s="39"/>
      <c r="I6" s="38" t="s">
        <v>161</v>
      </c>
      <c r="J6" s="3" t="s">
        <v>162</v>
      </c>
    </row>
    <row r="7">
      <c r="A7" s="36">
        <v>45888.217997685184</v>
      </c>
      <c r="B7" s="37">
        <v>175.45</v>
      </c>
      <c r="C7" s="38" t="s">
        <v>123</v>
      </c>
      <c r="D7" s="38" t="s">
        <v>125</v>
      </c>
      <c r="E7" s="38" t="s">
        <v>163</v>
      </c>
      <c r="F7" s="38" t="s">
        <v>164</v>
      </c>
      <c r="G7" s="38" t="s">
        <v>165</v>
      </c>
      <c r="H7" s="38" t="s">
        <v>166</v>
      </c>
      <c r="I7" s="38" t="s">
        <v>167</v>
      </c>
      <c r="J7" s="3" t="s">
        <v>168</v>
      </c>
    </row>
    <row r="8">
      <c r="A8" s="36">
        <v>45887.64901620371</v>
      </c>
      <c r="B8" s="37">
        <v>40.0</v>
      </c>
      <c r="C8" s="38" t="s">
        <v>158</v>
      </c>
      <c r="D8" s="38" t="s">
        <v>123</v>
      </c>
      <c r="E8" s="38" t="s">
        <v>169</v>
      </c>
      <c r="F8" s="39"/>
      <c r="G8" s="38" t="s">
        <v>170</v>
      </c>
      <c r="H8" s="38" t="s">
        <v>171</v>
      </c>
      <c r="I8" s="39"/>
      <c r="J8" s="3" t="s">
        <v>172</v>
      </c>
    </row>
    <row r="9">
      <c r="A9" s="36">
        <v>45887.63914351852</v>
      </c>
      <c r="B9" s="37">
        <v>-56.1</v>
      </c>
      <c r="C9" s="38" t="s">
        <v>125</v>
      </c>
      <c r="D9" s="38" t="s">
        <v>173</v>
      </c>
      <c r="E9" s="38" t="s">
        <v>174</v>
      </c>
      <c r="F9" s="39"/>
      <c r="G9" s="38" t="s">
        <v>175</v>
      </c>
      <c r="H9" s="38" t="s">
        <v>171</v>
      </c>
      <c r="I9" s="39"/>
      <c r="J9" s="3" t="s">
        <v>176</v>
      </c>
    </row>
    <row r="10">
      <c r="A10" s="36">
        <v>45887.535949074074</v>
      </c>
      <c r="B10" s="37">
        <v>-22.84</v>
      </c>
      <c r="C10" s="38" t="s">
        <v>177</v>
      </c>
      <c r="D10" s="38" t="s">
        <v>178</v>
      </c>
      <c r="E10" s="38" t="s">
        <v>179</v>
      </c>
      <c r="F10" s="38" t="s">
        <v>180</v>
      </c>
      <c r="G10" s="38" t="s">
        <v>181</v>
      </c>
      <c r="H10" s="38" t="s">
        <v>182</v>
      </c>
      <c r="I10" s="39"/>
      <c r="J10" s="3" t="s">
        <v>183</v>
      </c>
    </row>
    <row r="11">
      <c r="A11" s="36">
        <v>45886.642372685186</v>
      </c>
      <c r="B11" s="37">
        <v>-136.38</v>
      </c>
      <c r="C11" s="38" t="s">
        <v>177</v>
      </c>
      <c r="D11" s="38" t="s">
        <v>184</v>
      </c>
      <c r="E11" s="38" t="s">
        <v>179</v>
      </c>
      <c r="F11" s="38" t="s">
        <v>180</v>
      </c>
      <c r="G11" s="38" t="s">
        <v>185</v>
      </c>
      <c r="H11" s="38" t="s">
        <v>186</v>
      </c>
      <c r="I11" s="39"/>
      <c r="J11" s="3" t="s">
        <v>187</v>
      </c>
    </row>
    <row r="12">
      <c r="A12" s="36">
        <v>45886.0</v>
      </c>
      <c r="B12" s="37">
        <v>-175.45</v>
      </c>
      <c r="C12" s="38" t="s">
        <v>188</v>
      </c>
      <c r="D12" s="38" t="s">
        <v>189</v>
      </c>
      <c r="E12" s="38" t="s">
        <v>190</v>
      </c>
      <c r="F12" s="38" t="s">
        <v>191</v>
      </c>
      <c r="G12" s="38" t="s">
        <v>192</v>
      </c>
      <c r="H12" s="39"/>
      <c r="I12" s="39"/>
      <c r="J12" s="3" t="s">
        <v>193</v>
      </c>
    </row>
    <row r="13">
      <c r="A13" s="36">
        <v>45884.49990740741</v>
      </c>
      <c r="B13" s="37">
        <v>20.0</v>
      </c>
      <c r="C13" s="38" t="s">
        <v>152</v>
      </c>
      <c r="D13" s="38" t="s">
        <v>123</v>
      </c>
      <c r="E13" s="38" t="s">
        <v>153</v>
      </c>
      <c r="F13" s="38" t="s">
        <v>154</v>
      </c>
      <c r="G13" s="38" t="s">
        <v>194</v>
      </c>
      <c r="H13" s="39"/>
      <c r="I13" s="38" t="s">
        <v>156</v>
      </c>
      <c r="J13" s="3" t="s">
        <v>195</v>
      </c>
    </row>
    <row r="14">
      <c r="A14" s="36">
        <v>45884.0</v>
      </c>
      <c r="B14" s="37">
        <v>-500.0</v>
      </c>
      <c r="C14" s="38" t="s">
        <v>123</v>
      </c>
      <c r="D14" s="38" t="s">
        <v>196</v>
      </c>
      <c r="E14" s="38" t="s">
        <v>190</v>
      </c>
      <c r="F14" s="38" t="s">
        <v>197</v>
      </c>
      <c r="G14" s="38" t="s">
        <v>198</v>
      </c>
      <c r="H14" s="39"/>
      <c r="I14" s="39"/>
      <c r="J14" s="3" t="s">
        <v>199</v>
      </c>
    </row>
    <row r="15">
      <c r="A15" s="36">
        <v>45884.0</v>
      </c>
      <c r="B15" s="37">
        <v>-20.0</v>
      </c>
      <c r="C15" s="38" t="s">
        <v>123</v>
      </c>
      <c r="D15" s="3" t="s">
        <v>200</v>
      </c>
      <c r="E15" s="3" t="s">
        <v>190</v>
      </c>
      <c r="F15" s="3" t="s">
        <v>201</v>
      </c>
      <c r="G15" s="3" t="s">
        <v>202</v>
      </c>
      <c r="H15" s="39"/>
      <c r="I15" s="4"/>
      <c r="J15" s="3" t="s">
        <v>203</v>
      </c>
    </row>
    <row r="16">
      <c r="A16" s="36">
        <v>45883.80027777777</v>
      </c>
      <c r="B16" s="37">
        <v>-10.0</v>
      </c>
      <c r="C16" s="3" t="s">
        <v>123</v>
      </c>
      <c r="D16" s="3" t="s">
        <v>204</v>
      </c>
      <c r="E16" s="3" t="s">
        <v>145</v>
      </c>
      <c r="F16" s="3" t="s">
        <v>205</v>
      </c>
      <c r="G16" s="3" t="s">
        <v>206</v>
      </c>
      <c r="H16" s="38" t="s">
        <v>207</v>
      </c>
      <c r="I16" s="3" t="s">
        <v>147</v>
      </c>
      <c r="J16" s="3" t="s">
        <v>208</v>
      </c>
    </row>
    <row r="17">
      <c r="A17" s="36">
        <v>45883.62840277777</v>
      </c>
      <c r="B17" s="40">
        <v>-9.99</v>
      </c>
      <c r="C17" s="3" t="s">
        <v>131</v>
      </c>
      <c r="D17" s="3" t="s">
        <v>128</v>
      </c>
      <c r="E17" s="3" t="s">
        <v>209</v>
      </c>
      <c r="F17" s="3" t="s">
        <v>210</v>
      </c>
      <c r="G17" s="3" t="s">
        <v>211</v>
      </c>
      <c r="H17" s="38" t="s">
        <v>207</v>
      </c>
      <c r="I17" s="4"/>
      <c r="J17" s="3" t="s">
        <v>212</v>
      </c>
    </row>
    <row r="18">
      <c r="A18" s="36">
        <v>45883.50383101852</v>
      </c>
      <c r="B18" s="40">
        <v>10.0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217</v>
      </c>
      <c r="H18" s="39"/>
      <c r="I18" s="4"/>
      <c r="J18" s="3" t="s">
        <v>218</v>
      </c>
    </row>
    <row r="19">
      <c r="A19" s="23">
        <v>45883.0</v>
      </c>
      <c r="B19" s="40">
        <v>-35.0</v>
      </c>
      <c r="C19" s="3" t="s">
        <v>123</v>
      </c>
      <c r="D19" s="3" t="s">
        <v>219</v>
      </c>
      <c r="E19" s="3" t="s">
        <v>190</v>
      </c>
      <c r="F19" s="3" t="s">
        <v>220</v>
      </c>
      <c r="G19" s="3" t="s">
        <v>221</v>
      </c>
      <c r="H19" s="4"/>
      <c r="I19" s="3" t="s">
        <v>222</v>
      </c>
      <c r="J19" s="3" t="s">
        <v>223</v>
      </c>
    </row>
    <row r="20">
      <c r="A20" s="41"/>
      <c r="B20" s="20"/>
      <c r="C20" s="39"/>
      <c r="D20" s="39"/>
      <c r="E20" s="39"/>
      <c r="F20" s="39"/>
      <c r="G20" s="39"/>
      <c r="H20" s="39"/>
      <c r="I20" s="39"/>
    </row>
    <row r="21">
      <c r="A21" s="41"/>
      <c r="B21" s="20"/>
      <c r="C21" s="39"/>
      <c r="D21" s="39"/>
      <c r="E21" s="39"/>
      <c r="F21" s="39"/>
      <c r="G21" s="39"/>
      <c r="H21" s="39"/>
      <c r="I21" s="39"/>
    </row>
    <row r="22">
      <c r="A22" s="41"/>
      <c r="B22" s="20"/>
      <c r="C22" s="39"/>
      <c r="D22" s="39"/>
      <c r="E22" s="39"/>
      <c r="F22" s="39"/>
      <c r="G22" s="39"/>
      <c r="H22" s="39"/>
      <c r="I22" s="39"/>
    </row>
    <row r="23">
      <c r="A23" s="41"/>
      <c r="B23" s="20"/>
      <c r="C23" s="39"/>
      <c r="D23" s="39"/>
      <c r="E23" s="39"/>
      <c r="F23" s="39"/>
      <c r="G23" s="39"/>
      <c r="H23" s="39"/>
      <c r="I23" s="39"/>
    </row>
    <row r="24">
      <c r="A24" s="41"/>
      <c r="B24" s="20"/>
      <c r="C24" s="39"/>
      <c r="D24" s="39"/>
      <c r="E24" s="39"/>
      <c r="F24" s="39"/>
      <c r="G24" s="39"/>
      <c r="H24" s="39"/>
      <c r="I24" s="39"/>
    </row>
    <row r="25">
      <c r="A25" s="41"/>
      <c r="B25" s="20"/>
      <c r="C25" s="39"/>
      <c r="D25" s="39"/>
      <c r="E25" s="39"/>
      <c r="F25" s="39"/>
      <c r="G25" s="39"/>
      <c r="H25" s="39"/>
      <c r="I25" s="39"/>
    </row>
    <row r="26">
      <c r="A26" s="41"/>
      <c r="B26" s="20"/>
      <c r="C26" s="39"/>
      <c r="D26" s="39"/>
      <c r="E26" s="39"/>
      <c r="F26" s="39"/>
      <c r="G26" s="39"/>
      <c r="H26" s="39"/>
      <c r="I26" s="39"/>
    </row>
    <row r="27">
      <c r="A27" s="41"/>
      <c r="B27" s="20"/>
      <c r="C27" s="39"/>
      <c r="D27" s="39"/>
      <c r="E27" s="39"/>
      <c r="F27" s="39"/>
      <c r="G27" s="39"/>
      <c r="H27" s="39"/>
      <c r="I27" s="39"/>
    </row>
    <row r="28">
      <c r="A28" s="41"/>
      <c r="B28" s="20"/>
      <c r="C28" s="39"/>
      <c r="D28" s="39"/>
      <c r="E28" s="39"/>
      <c r="F28" s="39"/>
      <c r="G28" s="39"/>
      <c r="H28" s="39"/>
      <c r="I28" s="39"/>
    </row>
    <row r="29">
      <c r="A29" s="41"/>
      <c r="B29" s="20"/>
      <c r="C29" s="39"/>
      <c r="D29" s="39"/>
      <c r="E29" s="39"/>
      <c r="F29" s="39"/>
      <c r="G29" s="39"/>
      <c r="H29" s="39"/>
      <c r="I29" s="39"/>
    </row>
    <row r="30">
      <c r="A30" s="41"/>
      <c r="B30" s="20"/>
      <c r="C30" s="39"/>
      <c r="D30" s="39"/>
      <c r="E30" s="39"/>
      <c r="F30" s="39"/>
      <c r="G30" s="39"/>
      <c r="H30" s="39"/>
      <c r="I30" s="39"/>
    </row>
    <row r="31">
      <c r="A31" s="41"/>
      <c r="B31" s="20"/>
      <c r="C31" s="39"/>
      <c r="D31" s="39"/>
      <c r="E31" s="39"/>
      <c r="F31" s="39"/>
      <c r="G31" s="39"/>
      <c r="H31" s="39"/>
      <c r="I31" s="39"/>
    </row>
    <row r="32">
      <c r="A32" s="41"/>
      <c r="B32" s="20"/>
      <c r="C32" s="39"/>
      <c r="D32" s="39"/>
      <c r="E32" s="39"/>
      <c r="F32" s="39"/>
      <c r="G32" s="39"/>
      <c r="H32" s="39"/>
      <c r="I32" s="39"/>
    </row>
    <row r="33">
      <c r="A33" s="41"/>
      <c r="B33" s="20"/>
      <c r="C33" s="39"/>
      <c r="D33" s="39"/>
      <c r="E33" s="39"/>
      <c r="F33" s="39"/>
      <c r="G33" s="39"/>
      <c r="H33" s="39"/>
      <c r="I33" s="39"/>
    </row>
    <row r="34">
      <c r="A34" s="41"/>
      <c r="B34" s="20"/>
      <c r="C34" s="39"/>
      <c r="D34" s="39"/>
      <c r="E34" s="39"/>
      <c r="F34" s="39"/>
      <c r="G34" s="39"/>
      <c r="H34" s="39"/>
      <c r="I34" s="39"/>
    </row>
    <row r="35">
      <c r="A35" s="41"/>
      <c r="B35" s="20"/>
      <c r="C35" s="39"/>
      <c r="D35" s="39"/>
      <c r="E35" s="39"/>
      <c r="F35" s="39"/>
      <c r="G35" s="39"/>
      <c r="H35" s="39"/>
      <c r="I35" s="39"/>
    </row>
    <row r="36">
      <c r="A36" s="41"/>
      <c r="B36" s="20"/>
      <c r="C36" s="39"/>
      <c r="D36" s="39"/>
      <c r="E36" s="39"/>
      <c r="F36" s="39"/>
      <c r="G36" s="39"/>
      <c r="H36" s="39"/>
      <c r="I36" s="39"/>
    </row>
    <row r="37">
      <c r="A37" s="41"/>
      <c r="B37" s="20"/>
      <c r="C37" s="39"/>
      <c r="D37" s="39"/>
      <c r="E37" s="39"/>
      <c r="F37" s="39"/>
      <c r="G37" s="39"/>
      <c r="H37" s="39"/>
      <c r="I37" s="39"/>
    </row>
    <row r="38">
      <c r="A38" s="41"/>
      <c r="B38" s="20"/>
      <c r="C38" s="39"/>
      <c r="D38" s="39"/>
      <c r="E38" s="39"/>
      <c r="F38" s="39"/>
      <c r="G38" s="39"/>
      <c r="H38" s="39"/>
      <c r="I38" s="39"/>
    </row>
    <row r="39">
      <c r="A39" s="41"/>
      <c r="B39" s="20"/>
      <c r="C39" s="39"/>
      <c r="D39" s="39"/>
      <c r="E39" s="39"/>
      <c r="F39" s="39"/>
      <c r="G39" s="39"/>
      <c r="H39" s="39"/>
      <c r="I39" s="39"/>
    </row>
    <row r="40">
      <c r="A40" s="41"/>
      <c r="B40" s="20"/>
      <c r="C40" s="39"/>
      <c r="D40" s="39"/>
      <c r="E40" s="39"/>
      <c r="F40" s="39"/>
      <c r="G40" s="39"/>
      <c r="H40" s="39"/>
      <c r="I40" s="39"/>
    </row>
    <row r="41">
      <c r="A41" s="41"/>
      <c r="B41" s="20"/>
      <c r="C41" s="39"/>
      <c r="D41" s="39"/>
      <c r="E41" s="39"/>
      <c r="F41" s="39"/>
      <c r="G41" s="39"/>
      <c r="H41" s="39"/>
      <c r="I41" s="39"/>
    </row>
    <row r="42">
      <c r="A42" s="41"/>
      <c r="B42" s="20"/>
      <c r="C42" s="39"/>
      <c r="D42" s="39"/>
      <c r="E42" s="39"/>
      <c r="F42" s="39"/>
      <c r="G42" s="39"/>
      <c r="H42" s="39"/>
      <c r="I42" s="39"/>
    </row>
    <row r="43">
      <c r="A43" s="41"/>
      <c r="B43" s="20"/>
      <c r="C43" s="39"/>
      <c r="D43" s="39"/>
      <c r="E43" s="39"/>
      <c r="F43" s="39"/>
      <c r="G43" s="39"/>
      <c r="H43" s="39"/>
      <c r="I43" s="39"/>
    </row>
    <row r="44">
      <c r="A44" s="41"/>
      <c r="B44" s="20"/>
      <c r="C44" s="39"/>
      <c r="D44" s="39"/>
      <c r="E44" s="39"/>
      <c r="F44" s="39"/>
      <c r="G44" s="39"/>
      <c r="H44" s="39"/>
      <c r="I44" s="39"/>
    </row>
    <row r="45">
      <c r="A45" s="41"/>
      <c r="B45" s="20"/>
      <c r="C45" s="39"/>
      <c r="D45" s="39"/>
      <c r="E45" s="39"/>
      <c r="F45" s="39"/>
      <c r="G45" s="39"/>
      <c r="H45" s="39"/>
      <c r="I45" s="39"/>
    </row>
    <row r="46">
      <c r="A46" s="41"/>
      <c r="B46" s="20"/>
      <c r="C46" s="39"/>
      <c r="D46" s="39"/>
      <c r="E46" s="39"/>
      <c r="F46" s="39"/>
      <c r="G46" s="39"/>
      <c r="H46" s="39"/>
      <c r="I46" s="39"/>
    </row>
    <row r="47">
      <c r="A47" s="41"/>
      <c r="B47" s="20"/>
      <c r="C47" s="39"/>
      <c r="D47" s="39"/>
      <c r="E47" s="39"/>
      <c r="F47" s="39"/>
      <c r="G47" s="39"/>
      <c r="H47" s="39"/>
      <c r="I47" s="39"/>
    </row>
    <row r="48">
      <c r="A48" s="41"/>
      <c r="B48" s="20"/>
      <c r="C48" s="39"/>
      <c r="D48" s="39"/>
      <c r="E48" s="39"/>
      <c r="F48" s="39"/>
      <c r="G48" s="39"/>
      <c r="H48" s="39"/>
      <c r="I48" s="39"/>
    </row>
    <row r="49">
      <c r="A49" s="41"/>
      <c r="B49" s="20"/>
      <c r="C49" s="39"/>
      <c r="D49" s="39"/>
      <c r="E49" s="39"/>
      <c r="F49" s="39"/>
      <c r="G49" s="39"/>
      <c r="H49" s="39"/>
      <c r="I49" s="39"/>
    </row>
    <row r="50">
      <c r="A50" s="41"/>
      <c r="B50" s="20"/>
      <c r="C50" s="39"/>
      <c r="D50" s="39"/>
      <c r="E50" s="39"/>
      <c r="F50" s="39"/>
      <c r="G50" s="39"/>
      <c r="H50" s="39"/>
      <c r="I50" s="39"/>
    </row>
    <row r="51">
      <c r="A51" s="41"/>
      <c r="B51" s="20"/>
      <c r="C51" s="39"/>
      <c r="D51" s="39"/>
      <c r="E51" s="39"/>
      <c r="F51" s="39"/>
      <c r="G51" s="39"/>
      <c r="H51" s="39"/>
      <c r="I51" s="39"/>
    </row>
    <row r="52">
      <c r="A52" s="41"/>
      <c r="B52" s="20"/>
      <c r="C52" s="39"/>
      <c r="D52" s="39"/>
      <c r="E52" s="39"/>
      <c r="F52" s="39"/>
      <c r="G52" s="39"/>
      <c r="H52" s="39"/>
      <c r="I52" s="39"/>
    </row>
    <row r="53">
      <c r="A53" s="41"/>
      <c r="B53" s="20"/>
      <c r="C53" s="39"/>
      <c r="D53" s="39"/>
      <c r="E53" s="39"/>
      <c r="F53" s="39"/>
      <c r="G53" s="39"/>
      <c r="H53" s="39"/>
      <c r="I53" s="39"/>
    </row>
    <row r="54">
      <c r="A54" s="41"/>
      <c r="B54" s="20"/>
      <c r="C54" s="39"/>
      <c r="D54" s="39"/>
      <c r="E54" s="39"/>
      <c r="F54" s="39"/>
      <c r="G54" s="39"/>
      <c r="H54" s="39"/>
      <c r="I54" s="39"/>
    </row>
    <row r="55">
      <c r="A55" s="41"/>
      <c r="B55" s="20"/>
      <c r="C55" s="39"/>
      <c r="D55" s="39"/>
      <c r="E55" s="39"/>
      <c r="F55" s="39"/>
      <c r="G55" s="39"/>
      <c r="H55" s="39"/>
      <c r="I55" s="39"/>
    </row>
    <row r="56">
      <c r="A56" s="41"/>
      <c r="B56" s="20"/>
      <c r="C56" s="39"/>
      <c r="D56" s="39"/>
      <c r="E56" s="39"/>
      <c r="F56" s="39"/>
      <c r="G56" s="39"/>
      <c r="H56" s="39"/>
      <c r="I56" s="39"/>
    </row>
    <row r="57">
      <c r="A57" s="41"/>
      <c r="B57" s="20"/>
      <c r="C57" s="39"/>
      <c r="D57" s="39"/>
      <c r="E57" s="39"/>
      <c r="F57" s="39"/>
      <c r="G57" s="39"/>
      <c r="H57" s="39"/>
      <c r="I57" s="39"/>
    </row>
    <row r="58">
      <c r="A58" s="41"/>
      <c r="B58" s="20"/>
      <c r="C58" s="39"/>
      <c r="D58" s="39"/>
      <c r="E58" s="39"/>
      <c r="F58" s="39"/>
      <c r="G58" s="39"/>
      <c r="H58" s="39"/>
      <c r="I58" s="39"/>
    </row>
    <row r="59">
      <c r="A59" s="41"/>
      <c r="B59" s="20"/>
      <c r="C59" s="39"/>
      <c r="D59" s="39"/>
      <c r="E59" s="39"/>
      <c r="F59" s="39"/>
      <c r="G59" s="39"/>
      <c r="H59" s="39"/>
      <c r="I59" s="39"/>
    </row>
    <row r="60">
      <c r="A60" s="41"/>
      <c r="B60" s="20"/>
      <c r="C60" s="39"/>
      <c r="D60" s="39"/>
      <c r="E60" s="39"/>
      <c r="F60" s="39"/>
      <c r="G60" s="39"/>
      <c r="H60" s="39"/>
      <c r="I60" s="39"/>
    </row>
    <row r="61">
      <c r="A61" s="41"/>
      <c r="B61" s="20"/>
      <c r="C61" s="39"/>
      <c r="D61" s="39"/>
      <c r="E61" s="39"/>
      <c r="F61" s="39"/>
      <c r="G61" s="39"/>
      <c r="H61" s="39"/>
      <c r="I61" s="39"/>
    </row>
    <row r="62">
      <c r="A62" s="41"/>
      <c r="B62" s="20"/>
      <c r="C62" s="39"/>
      <c r="D62" s="39"/>
      <c r="E62" s="39"/>
      <c r="F62" s="39"/>
      <c r="G62" s="39"/>
      <c r="H62" s="39"/>
      <c r="I62" s="39"/>
    </row>
    <row r="63">
      <c r="A63" s="41"/>
      <c r="B63" s="20"/>
      <c r="C63" s="39"/>
      <c r="D63" s="39"/>
      <c r="E63" s="39"/>
      <c r="F63" s="39"/>
      <c r="G63" s="39"/>
      <c r="H63" s="39"/>
      <c r="I63" s="39"/>
    </row>
    <row r="64">
      <c r="A64" s="41"/>
      <c r="B64" s="20"/>
      <c r="C64" s="39"/>
      <c r="D64" s="39"/>
      <c r="E64" s="39"/>
      <c r="F64" s="39"/>
      <c r="G64" s="39"/>
      <c r="H64" s="39"/>
      <c r="I64" s="39"/>
    </row>
    <row r="65">
      <c r="A65" s="41"/>
      <c r="B65" s="20"/>
      <c r="C65" s="39"/>
      <c r="D65" s="39"/>
      <c r="E65" s="39"/>
      <c r="F65" s="39"/>
      <c r="G65" s="39"/>
      <c r="H65" s="39"/>
      <c r="I65" s="39"/>
    </row>
    <row r="66">
      <c r="A66" s="41"/>
      <c r="B66" s="20"/>
      <c r="C66" s="39"/>
      <c r="D66" s="39"/>
      <c r="E66" s="39"/>
      <c r="F66" s="39"/>
      <c r="G66" s="39"/>
      <c r="H66" s="39"/>
      <c r="I66" s="39"/>
    </row>
    <row r="67">
      <c r="A67" s="41"/>
      <c r="B67" s="20"/>
      <c r="C67" s="39"/>
      <c r="D67" s="39"/>
      <c r="E67" s="39"/>
      <c r="F67" s="39"/>
      <c r="G67" s="39"/>
      <c r="H67" s="39"/>
      <c r="I67" s="39"/>
    </row>
    <row r="68">
      <c r="A68" s="41"/>
      <c r="B68" s="20"/>
      <c r="C68" s="39"/>
      <c r="D68" s="39"/>
      <c r="E68" s="39"/>
      <c r="F68" s="39"/>
      <c r="G68" s="39"/>
      <c r="H68" s="39"/>
      <c r="I68" s="39"/>
    </row>
    <row r="69">
      <c r="A69" s="41"/>
      <c r="B69" s="20"/>
      <c r="C69" s="39"/>
      <c r="D69" s="39"/>
      <c r="E69" s="39"/>
      <c r="F69" s="39"/>
      <c r="G69" s="39"/>
      <c r="H69" s="39"/>
      <c r="I69" s="39"/>
    </row>
    <row r="70">
      <c r="A70" s="41"/>
      <c r="B70" s="20"/>
      <c r="C70" s="39"/>
      <c r="D70" s="39"/>
      <c r="E70" s="39"/>
      <c r="F70" s="39"/>
      <c r="G70" s="39"/>
      <c r="H70" s="39"/>
      <c r="I70" s="39"/>
    </row>
    <row r="71">
      <c r="A71" s="41"/>
      <c r="B71" s="20"/>
      <c r="C71" s="39"/>
      <c r="D71" s="39"/>
      <c r="E71" s="39"/>
      <c r="F71" s="39"/>
      <c r="G71" s="39"/>
      <c r="H71" s="39"/>
      <c r="I71" s="39"/>
    </row>
    <row r="72">
      <c r="A72" s="41"/>
      <c r="B72" s="20"/>
      <c r="C72" s="39"/>
      <c r="D72" s="39"/>
      <c r="E72" s="39"/>
      <c r="F72" s="39"/>
      <c r="G72" s="39"/>
      <c r="H72" s="39"/>
      <c r="I72" s="39"/>
    </row>
    <row r="73">
      <c r="A73" s="41"/>
      <c r="B73" s="20"/>
      <c r="C73" s="39"/>
      <c r="D73" s="39"/>
      <c r="E73" s="39"/>
      <c r="F73" s="39"/>
      <c r="G73" s="39"/>
      <c r="H73" s="39"/>
      <c r="I73" s="39"/>
    </row>
    <row r="74">
      <c r="A74" s="41"/>
      <c r="B74" s="20"/>
      <c r="C74" s="39"/>
      <c r="D74" s="39"/>
      <c r="E74" s="39"/>
      <c r="F74" s="39"/>
      <c r="G74" s="39"/>
      <c r="H74" s="39"/>
      <c r="I74" s="39"/>
    </row>
    <row r="75">
      <c r="A75" s="41"/>
      <c r="B75" s="20"/>
      <c r="C75" s="39"/>
      <c r="D75" s="39"/>
      <c r="E75" s="39"/>
      <c r="F75" s="39"/>
      <c r="G75" s="39"/>
      <c r="H75" s="39"/>
      <c r="I75" s="39"/>
    </row>
    <row r="76">
      <c r="A76" s="41"/>
      <c r="B76" s="20"/>
      <c r="C76" s="39"/>
      <c r="D76" s="39"/>
      <c r="E76" s="39"/>
      <c r="F76" s="39"/>
      <c r="G76" s="39"/>
      <c r="H76" s="39"/>
      <c r="I76" s="39"/>
    </row>
    <row r="77">
      <c r="A77" s="41"/>
      <c r="B77" s="20"/>
      <c r="C77" s="39"/>
      <c r="D77" s="39"/>
      <c r="E77" s="39"/>
      <c r="F77" s="39"/>
      <c r="G77" s="39"/>
      <c r="H77" s="39"/>
      <c r="I77" s="39"/>
    </row>
    <row r="78">
      <c r="A78" s="41"/>
      <c r="B78" s="20"/>
      <c r="C78" s="39"/>
      <c r="D78" s="39"/>
      <c r="E78" s="39"/>
      <c r="F78" s="39"/>
      <c r="G78" s="39"/>
      <c r="H78" s="39"/>
      <c r="I78" s="39"/>
    </row>
    <row r="79">
      <c r="A79" s="41"/>
      <c r="B79" s="20"/>
      <c r="C79" s="39"/>
      <c r="D79" s="39"/>
      <c r="E79" s="39"/>
      <c r="F79" s="39"/>
      <c r="G79" s="39"/>
      <c r="H79" s="39"/>
      <c r="I79" s="39"/>
    </row>
    <row r="80">
      <c r="A80" s="41"/>
      <c r="B80" s="20"/>
      <c r="C80" s="39"/>
      <c r="D80" s="39"/>
      <c r="E80" s="39"/>
      <c r="F80" s="39"/>
      <c r="G80" s="39"/>
      <c r="H80" s="39"/>
      <c r="I80" s="39"/>
    </row>
    <row r="81">
      <c r="A81" s="41"/>
      <c r="B81" s="20"/>
      <c r="C81" s="39"/>
      <c r="D81" s="39"/>
      <c r="E81" s="39"/>
      <c r="F81" s="39"/>
      <c r="G81" s="39"/>
      <c r="H81" s="39"/>
      <c r="I81" s="39"/>
    </row>
    <row r="82">
      <c r="A82" s="41"/>
      <c r="B82" s="20"/>
      <c r="C82" s="39"/>
      <c r="D82" s="39"/>
      <c r="E82" s="39"/>
      <c r="F82" s="39"/>
      <c r="G82" s="39"/>
      <c r="H82" s="39"/>
      <c r="I82" s="39"/>
    </row>
    <row r="83">
      <c r="A83" s="41"/>
      <c r="B83" s="20"/>
      <c r="C83" s="39"/>
      <c r="D83" s="39"/>
      <c r="E83" s="39"/>
      <c r="F83" s="39"/>
      <c r="G83" s="39"/>
      <c r="H83" s="39"/>
      <c r="I83" s="39"/>
    </row>
    <row r="84">
      <c r="A84" s="41"/>
      <c r="B84" s="20"/>
      <c r="C84" s="39"/>
      <c r="D84" s="39"/>
      <c r="E84" s="39"/>
      <c r="F84" s="39"/>
      <c r="G84" s="39"/>
      <c r="H84" s="39"/>
      <c r="I84" s="39"/>
    </row>
    <row r="85">
      <c r="A85" s="41"/>
      <c r="B85" s="20"/>
      <c r="C85" s="39"/>
      <c r="D85" s="39"/>
      <c r="E85" s="39"/>
      <c r="F85" s="39"/>
      <c r="G85" s="39"/>
      <c r="H85" s="39"/>
      <c r="I85" s="39"/>
    </row>
    <row r="86">
      <c r="A86" s="41"/>
      <c r="B86" s="20"/>
      <c r="C86" s="39"/>
      <c r="D86" s="39"/>
      <c r="E86" s="39"/>
      <c r="F86" s="39"/>
      <c r="G86" s="39"/>
      <c r="H86" s="39"/>
      <c r="I86" s="39"/>
    </row>
    <row r="87">
      <c r="A87" s="41"/>
      <c r="B87" s="20"/>
      <c r="C87" s="39"/>
      <c r="D87" s="39"/>
      <c r="E87" s="39"/>
      <c r="F87" s="39"/>
      <c r="G87" s="39"/>
      <c r="H87" s="39"/>
      <c r="I87" s="39"/>
    </row>
    <row r="88">
      <c r="A88" s="41"/>
      <c r="B88" s="20"/>
      <c r="C88" s="39"/>
      <c r="D88" s="39"/>
      <c r="E88" s="39"/>
      <c r="F88" s="39"/>
      <c r="G88" s="39"/>
      <c r="H88" s="39"/>
      <c r="I88" s="39"/>
    </row>
    <row r="89">
      <c r="A89" s="41"/>
      <c r="B89" s="20"/>
      <c r="C89" s="39"/>
      <c r="D89" s="39"/>
      <c r="E89" s="39"/>
      <c r="F89" s="39"/>
      <c r="G89" s="39"/>
      <c r="H89" s="39"/>
      <c r="I89" s="39"/>
    </row>
    <row r="90">
      <c r="A90" s="41"/>
      <c r="B90" s="20"/>
      <c r="C90" s="39"/>
      <c r="D90" s="39"/>
      <c r="E90" s="39"/>
      <c r="F90" s="39"/>
      <c r="G90" s="39"/>
      <c r="H90" s="39"/>
      <c r="I90" s="39"/>
    </row>
    <row r="91">
      <c r="A91" s="41"/>
      <c r="B91" s="20"/>
      <c r="C91" s="39"/>
      <c r="D91" s="39"/>
      <c r="E91" s="39"/>
      <c r="F91" s="39"/>
      <c r="G91" s="39"/>
      <c r="H91" s="39"/>
      <c r="I91" s="39"/>
    </row>
    <row r="92">
      <c r="A92" s="41"/>
      <c r="B92" s="20"/>
      <c r="C92" s="39"/>
      <c r="D92" s="39"/>
      <c r="E92" s="39"/>
      <c r="F92" s="39"/>
      <c r="G92" s="39"/>
      <c r="H92" s="39"/>
      <c r="I92" s="39"/>
    </row>
    <row r="93">
      <c r="A93" s="41"/>
      <c r="B93" s="20"/>
      <c r="C93" s="39"/>
      <c r="D93" s="39"/>
      <c r="E93" s="39"/>
      <c r="F93" s="39"/>
      <c r="G93" s="39"/>
      <c r="H93" s="39"/>
      <c r="I93" s="39"/>
    </row>
    <row r="94">
      <c r="A94" s="41"/>
      <c r="B94" s="20"/>
      <c r="C94" s="39"/>
      <c r="D94" s="39"/>
      <c r="E94" s="39"/>
      <c r="F94" s="39"/>
      <c r="G94" s="39"/>
      <c r="H94" s="39"/>
      <c r="I94" s="39"/>
    </row>
    <row r="95">
      <c r="A95" s="41"/>
      <c r="B95" s="20"/>
      <c r="C95" s="39"/>
      <c r="D95" s="39"/>
      <c r="E95" s="39"/>
      <c r="F95" s="39"/>
      <c r="G95" s="39"/>
      <c r="H95" s="39"/>
      <c r="I95" s="39"/>
    </row>
    <row r="96">
      <c r="A96" s="41"/>
      <c r="B96" s="20"/>
      <c r="C96" s="39"/>
      <c r="D96" s="39"/>
      <c r="E96" s="39"/>
      <c r="F96" s="39"/>
      <c r="G96" s="39"/>
      <c r="H96" s="39"/>
      <c r="I96" s="39"/>
    </row>
    <row r="97">
      <c r="A97" s="41"/>
      <c r="B97" s="20"/>
      <c r="C97" s="39"/>
      <c r="D97" s="39"/>
      <c r="E97" s="39"/>
      <c r="F97" s="39"/>
      <c r="G97" s="39"/>
      <c r="H97" s="39"/>
      <c r="I97" s="39"/>
    </row>
    <row r="98">
      <c r="A98" s="41"/>
      <c r="B98" s="20"/>
      <c r="C98" s="39"/>
      <c r="D98" s="39"/>
      <c r="E98" s="39"/>
      <c r="F98" s="39"/>
      <c r="G98" s="39"/>
      <c r="H98" s="39"/>
      <c r="I98" s="39"/>
    </row>
    <row r="99">
      <c r="A99" s="41"/>
      <c r="B99" s="20"/>
      <c r="C99" s="39"/>
      <c r="D99" s="39"/>
      <c r="E99" s="39"/>
      <c r="F99" s="39"/>
      <c r="G99" s="39"/>
      <c r="H99" s="39"/>
      <c r="I99" s="39"/>
    </row>
    <row r="100">
      <c r="A100" s="41"/>
      <c r="B100" s="20"/>
      <c r="C100" s="39"/>
      <c r="D100" s="39"/>
      <c r="E100" s="39"/>
      <c r="F100" s="39"/>
      <c r="G100" s="39"/>
      <c r="H100" s="39"/>
      <c r="I100" s="39"/>
    </row>
    <row r="101">
      <c r="A101" s="41"/>
      <c r="B101" s="20"/>
      <c r="C101" s="39"/>
      <c r="D101" s="39"/>
      <c r="E101" s="39"/>
      <c r="F101" s="39"/>
      <c r="G101" s="39"/>
      <c r="H101" s="39"/>
      <c r="I101" s="39"/>
    </row>
    <row r="102">
      <c r="A102" s="41"/>
      <c r="B102" s="20"/>
      <c r="C102" s="39"/>
      <c r="D102" s="39"/>
      <c r="E102" s="39"/>
      <c r="F102" s="39"/>
      <c r="G102" s="39"/>
      <c r="H102" s="39"/>
      <c r="I102" s="39"/>
    </row>
    <row r="103">
      <c r="A103" s="41"/>
      <c r="B103" s="20"/>
      <c r="C103" s="39"/>
      <c r="D103" s="39"/>
      <c r="E103" s="39"/>
      <c r="F103" s="39"/>
      <c r="G103" s="39"/>
      <c r="H103" s="39"/>
      <c r="I103" s="39"/>
    </row>
    <row r="104">
      <c r="A104" s="41"/>
      <c r="B104" s="20"/>
      <c r="C104" s="39"/>
      <c r="D104" s="39"/>
      <c r="E104" s="39"/>
      <c r="F104" s="39"/>
      <c r="G104" s="39"/>
      <c r="H104" s="39"/>
      <c r="I104" s="39"/>
    </row>
    <row r="105">
      <c r="A105" s="41"/>
      <c r="B105" s="20"/>
      <c r="C105" s="39"/>
      <c r="D105" s="39"/>
      <c r="E105" s="39"/>
      <c r="F105" s="39"/>
      <c r="G105" s="39"/>
      <c r="H105" s="39"/>
      <c r="I105" s="39"/>
    </row>
    <row r="106">
      <c r="A106" s="41"/>
      <c r="B106" s="20"/>
      <c r="C106" s="39"/>
      <c r="D106" s="39"/>
      <c r="E106" s="39"/>
      <c r="F106" s="39"/>
      <c r="G106" s="39"/>
      <c r="H106" s="39"/>
      <c r="I106" s="39"/>
    </row>
    <row r="107">
      <c r="A107" s="41"/>
      <c r="B107" s="20"/>
      <c r="C107" s="39"/>
      <c r="D107" s="39"/>
      <c r="E107" s="39"/>
      <c r="F107" s="39"/>
      <c r="G107" s="39"/>
      <c r="H107" s="39"/>
      <c r="I107" s="39"/>
    </row>
    <row r="108">
      <c r="A108" s="41"/>
      <c r="B108" s="20"/>
      <c r="C108" s="39"/>
      <c r="D108" s="39"/>
      <c r="E108" s="39"/>
      <c r="F108" s="39"/>
      <c r="G108" s="39"/>
      <c r="H108" s="39"/>
      <c r="I108" s="39"/>
    </row>
    <row r="109">
      <c r="A109" s="41"/>
      <c r="B109" s="20"/>
      <c r="C109" s="39"/>
      <c r="D109" s="39"/>
      <c r="E109" s="39"/>
      <c r="F109" s="39"/>
      <c r="G109" s="39"/>
      <c r="H109" s="39"/>
      <c r="I109" s="39"/>
    </row>
    <row r="110">
      <c r="A110" s="41"/>
      <c r="B110" s="20"/>
      <c r="C110" s="39"/>
      <c r="D110" s="39"/>
      <c r="E110" s="39"/>
      <c r="F110" s="39"/>
      <c r="G110" s="39"/>
      <c r="H110" s="39"/>
      <c r="I110" s="39"/>
    </row>
    <row r="111">
      <c r="A111" s="41"/>
      <c r="B111" s="20"/>
      <c r="C111" s="39"/>
      <c r="D111" s="39"/>
      <c r="E111" s="39"/>
      <c r="F111" s="39"/>
      <c r="G111" s="39"/>
      <c r="H111" s="39"/>
      <c r="I111" s="39"/>
    </row>
    <row r="112">
      <c r="A112" s="41"/>
      <c r="B112" s="20"/>
      <c r="C112" s="39"/>
      <c r="D112" s="39"/>
      <c r="E112" s="39"/>
      <c r="F112" s="39"/>
      <c r="G112" s="39"/>
      <c r="H112" s="39"/>
      <c r="I112" s="39"/>
    </row>
    <row r="113">
      <c r="A113" s="41"/>
      <c r="B113" s="20"/>
      <c r="C113" s="39"/>
      <c r="D113" s="39"/>
      <c r="E113" s="39"/>
      <c r="F113" s="39"/>
      <c r="G113" s="39"/>
      <c r="H113" s="39"/>
      <c r="I113" s="39"/>
    </row>
    <row r="114">
      <c r="A114" s="41"/>
      <c r="B114" s="20"/>
      <c r="C114" s="39"/>
      <c r="D114" s="39"/>
      <c r="E114" s="39"/>
      <c r="F114" s="39"/>
      <c r="G114" s="39"/>
      <c r="H114" s="39"/>
      <c r="I114" s="39"/>
    </row>
    <row r="115">
      <c r="A115" s="41"/>
      <c r="B115" s="20"/>
      <c r="C115" s="39"/>
      <c r="D115" s="39"/>
      <c r="E115" s="39"/>
      <c r="F115" s="39"/>
      <c r="G115" s="39"/>
      <c r="H115" s="39"/>
      <c r="I115" s="39"/>
    </row>
    <row r="116">
      <c r="A116" s="41"/>
      <c r="B116" s="20"/>
      <c r="C116" s="39"/>
      <c r="D116" s="39"/>
      <c r="E116" s="39"/>
      <c r="F116" s="39"/>
      <c r="G116" s="39"/>
      <c r="H116" s="39"/>
      <c r="I116" s="39"/>
    </row>
    <row r="117">
      <c r="A117" s="41"/>
      <c r="B117" s="20"/>
      <c r="C117" s="39"/>
      <c r="D117" s="39"/>
      <c r="E117" s="39"/>
      <c r="F117" s="39"/>
      <c r="G117" s="39"/>
      <c r="H117" s="39"/>
      <c r="I117" s="39"/>
    </row>
    <row r="118">
      <c r="A118" s="41"/>
      <c r="B118" s="20"/>
      <c r="C118" s="39"/>
      <c r="D118" s="39"/>
      <c r="E118" s="39"/>
      <c r="F118" s="39"/>
      <c r="G118" s="39"/>
      <c r="H118" s="39"/>
      <c r="I118" s="39"/>
    </row>
    <row r="119">
      <c r="A119" s="41"/>
      <c r="B119" s="20"/>
      <c r="C119" s="39"/>
      <c r="D119" s="39"/>
      <c r="E119" s="39"/>
      <c r="F119" s="39"/>
      <c r="G119" s="39"/>
      <c r="H119" s="39"/>
      <c r="I119" s="39"/>
    </row>
    <row r="120">
      <c r="A120" s="41"/>
      <c r="B120" s="20"/>
      <c r="C120" s="39"/>
      <c r="D120" s="39"/>
      <c r="E120" s="39"/>
      <c r="F120" s="39"/>
      <c r="G120" s="39"/>
      <c r="H120" s="39"/>
      <c r="I120" s="39"/>
    </row>
    <row r="121">
      <c r="A121" s="41"/>
      <c r="B121" s="20"/>
      <c r="C121" s="39"/>
      <c r="D121" s="39"/>
      <c r="E121" s="39"/>
      <c r="F121" s="39"/>
      <c r="G121" s="39"/>
      <c r="H121" s="39"/>
      <c r="I121" s="39"/>
    </row>
    <row r="122">
      <c r="A122" s="41"/>
      <c r="B122" s="20"/>
      <c r="C122" s="39"/>
      <c r="D122" s="39"/>
      <c r="E122" s="39"/>
      <c r="F122" s="39"/>
      <c r="G122" s="39"/>
      <c r="H122" s="39"/>
      <c r="I122" s="39"/>
    </row>
    <row r="123">
      <c r="A123" s="41"/>
      <c r="B123" s="20"/>
      <c r="C123" s="39"/>
      <c r="D123" s="39"/>
      <c r="E123" s="39"/>
      <c r="F123" s="39"/>
      <c r="G123" s="39"/>
      <c r="H123" s="39"/>
      <c r="I123" s="39"/>
    </row>
    <row r="124">
      <c r="A124" s="41"/>
      <c r="B124" s="20"/>
      <c r="C124" s="39"/>
      <c r="D124" s="39"/>
      <c r="E124" s="39"/>
      <c r="F124" s="39"/>
      <c r="G124" s="39"/>
      <c r="H124" s="39"/>
      <c r="I124" s="39"/>
    </row>
    <row r="125">
      <c r="A125" s="41"/>
      <c r="B125" s="20"/>
      <c r="C125" s="39"/>
      <c r="D125" s="39"/>
      <c r="E125" s="39"/>
      <c r="F125" s="39"/>
      <c r="G125" s="39"/>
      <c r="H125" s="39"/>
      <c r="I125" s="39"/>
    </row>
    <row r="126">
      <c r="A126" s="41"/>
      <c r="B126" s="20"/>
      <c r="C126" s="39"/>
      <c r="D126" s="39"/>
      <c r="E126" s="39"/>
      <c r="F126" s="39"/>
      <c r="G126" s="39"/>
      <c r="H126" s="39"/>
      <c r="I126" s="39"/>
    </row>
    <row r="127">
      <c r="A127" s="41"/>
      <c r="B127" s="20"/>
      <c r="C127" s="39"/>
      <c r="D127" s="39"/>
      <c r="E127" s="39"/>
      <c r="F127" s="39"/>
      <c r="G127" s="39"/>
      <c r="H127" s="39"/>
      <c r="I127" s="39"/>
    </row>
    <row r="128">
      <c r="A128" s="41"/>
      <c r="B128" s="20"/>
      <c r="C128" s="39"/>
      <c r="D128" s="39"/>
      <c r="E128" s="39"/>
      <c r="F128" s="39"/>
      <c r="G128" s="39"/>
      <c r="H128" s="39"/>
      <c r="I128" s="39"/>
    </row>
    <row r="129">
      <c r="A129" s="41"/>
      <c r="B129" s="20"/>
      <c r="C129" s="39"/>
      <c r="D129" s="39"/>
      <c r="E129" s="39"/>
      <c r="F129" s="39"/>
      <c r="G129" s="39"/>
      <c r="H129" s="39"/>
      <c r="I129" s="39"/>
    </row>
    <row r="130">
      <c r="A130" s="41"/>
      <c r="B130" s="20"/>
      <c r="C130" s="39"/>
      <c r="D130" s="39"/>
      <c r="E130" s="39"/>
      <c r="F130" s="39"/>
      <c r="G130" s="39"/>
      <c r="H130" s="39"/>
      <c r="I130" s="39"/>
    </row>
    <row r="131">
      <c r="A131" s="41"/>
      <c r="B131" s="20"/>
      <c r="C131" s="39"/>
      <c r="D131" s="39"/>
      <c r="E131" s="39"/>
      <c r="F131" s="39"/>
      <c r="G131" s="39"/>
      <c r="H131" s="39"/>
      <c r="I131" s="39"/>
    </row>
    <row r="132">
      <c r="A132" s="41"/>
      <c r="B132" s="20"/>
      <c r="C132" s="39"/>
      <c r="D132" s="39"/>
      <c r="E132" s="39"/>
      <c r="F132" s="39"/>
      <c r="G132" s="39"/>
      <c r="H132" s="39"/>
      <c r="I132" s="39"/>
    </row>
    <row r="133">
      <c r="A133" s="41"/>
      <c r="B133" s="20"/>
      <c r="C133" s="39"/>
      <c r="D133" s="39"/>
      <c r="E133" s="39"/>
      <c r="F133" s="39"/>
      <c r="G133" s="39"/>
      <c r="H133" s="39"/>
      <c r="I133" s="39"/>
    </row>
    <row r="134">
      <c r="A134" s="41"/>
      <c r="B134" s="20"/>
      <c r="C134" s="39"/>
      <c r="D134" s="39"/>
      <c r="E134" s="39"/>
      <c r="F134" s="39"/>
      <c r="G134" s="39"/>
      <c r="H134" s="39"/>
      <c r="I134" s="39"/>
    </row>
    <row r="135">
      <c r="A135" s="41"/>
      <c r="B135" s="20"/>
      <c r="C135" s="39"/>
      <c r="D135" s="39"/>
      <c r="E135" s="39"/>
      <c r="F135" s="39"/>
      <c r="G135" s="39"/>
      <c r="H135" s="39"/>
      <c r="I135" s="39"/>
    </row>
    <row r="136">
      <c r="A136" s="41"/>
      <c r="B136" s="20"/>
      <c r="C136" s="39"/>
      <c r="D136" s="39"/>
      <c r="E136" s="39"/>
      <c r="F136" s="39"/>
      <c r="G136" s="39"/>
      <c r="H136" s="39"/>
      <c r="I136" s="39"/>
    </row>
    <row r="137">
      <c r="A137" s="41"/>
      <c r="B137" s="20"/>
      <c r="C137" s="39"/>
      <c r="D137" s="39"/>
      <c r="E137" s="39"/>
      <c r="F137" s="39"/>
      <c r="G137" s="39"/>
      <c r="H137" s="39"/>
      <c r="I137" s="39"/>
    </row>
    <row r="138">
      <c r="A138" s="41"/>
      <c r="B138" s="20"/>
      <c r="C138" s="39"/>
      <c r="D138" s="39"/>
      <c r="E138" s="39"/>
      <c r="F138" s="39"/>
      <c r="G138" s="39"/>
      <c r="H138" s="39"/>
      <c r="I138" s="39"/>
    </row>
    <row r="139">
      <c r="A139" s="41"/>
      <c r="B139" s="20"/>
      <c r="C139" s="39"/>
      <c r="D139" s="39"/>
      <c r="E139" s="39"/>
      <c r="F139" s="39"/>
      <c r="G139" s="39"/>
      <c r="H139" s="39"/>
      <c r="I139" s="39"/>
    </row>
    <row r="140">
      <c r="A140" s="41"/>
      <c r="B140" s="20"/>
      <c r="C140" s="39"/>
      <c r="D140" s="39"/>
      <c r="E140" s="39"/>
      <c r="F140" s="39"/>
      <c r="G140" s="39"/>
      <c r="H140" s="39"/>
      <c r="I140" s="39"/>
    </row>
    <row r="141">
      <c r="A141" s="41"/>
      <c r="B141" s="20"/>
      <c r="C141" s="39"/>
      <c r="D141" s="39"/>
      <c r="E141" s="39"/>
      <c r="F141" s="39"/>
      <c r="G141" s="39"/>
      <c r="H141" s="39"/>
      <c r="I141" s="39"/>
    </row>
    <row r="142">
      <c r="A142" s="41"/>
      <c r="B142" s="20"/>
      <c r="C142" s="39"/>
      <c r="D142" s="39"/>
      <c r="E142" s="39"/>
      <c r="F142" s="39"/>
      <c r="G142" s="39"/>
      <c r="H142" s="39"/>
      <c r="I142" s="39"/>
    </row>
    <row r="143">
      <c r="A143" s="41"/>
      <c r="B143" s="20"/>
      <c r="C143" s="39"/>
      <c r="D143" s="39"/>
      <c r="E143" s="39"/>
      <c r="F143" s="39"/>
      <c r="G143" s="39"/>
      <c r="H143" s="39"/>
      <c r="I143" s="39"/>
    </row>
    <row r="144">
      <c r="A144" s="41"/>
      <c r="B144" s="20"/>
      <c r="C144" s="39"/>
      <c r="D144" s="39"/>
      <c r="E144" s="39"/>
      <c r="F144" s="39"/>
      <c r="G144" s="39"/>
      <c r="H144" s="39"/>
      <c r="I144" s="39"/>
    </row>
    <row r="145">
      <c r="A145" s="41"/>
      <c r="B145" s="20"/>
      <c r="C145" s="39"/>
      <c r="D145" s="39"/>
      <c r="E145" s="39"/>
      <c r="F145" s="39"/>
      <c r="G145" s="39"/>
      <c r="H145" s="39"/>
      <c r="I145" s="39"/>
    </row>
    <row r="146">
      <c r="A146" s="41"/>
      <c r="B146" s="20"/>
      <c r="C146" s="39"/>
      <c r="D146" s="39"/>
      <c r="E146" s="39"/>
      <c r="F146" s="39"/>
      <c r="G146" s="39"/>
      <c r="H146" s="39"/>
      <c r="I146" s="39"/>
    </row>
    <row r="147">
      <c r="A147" s="41"/>
      <c r="B147" s="20"/>
      <c r="C147" s="39"/>
      <c r="D147" s="39"/>
      <c r="E147" s="39"/>
      <c r="F147" s="39"/>
      <c r="G147" s="39"/>
      <c r="H147" s="39"/>
      <c r="I147" s="39"/>
    </row>
    <row r="148">
      <c r="A148" s="41"/>
      <c r="B148" s="20"/>
      <c r="C148" s="39"/>
      <c r="D148" s="39"/>
      <c r="E148" s="39"/>
      <c r="F148" s="39"/>
      <c r="G148" s="39"/>
      <c r="H148" s="39"/>
      <c r="I148" s="39"/>
    </row>
    <row r="149">
      <c r="A149" s="41"/>
      <c r="B149" s="20"/>
      <c r="C149" s="39"/>
      <c r="D149" s="39"/>
      <c r="E149" s="39"/>
      <c r="F149" s="39"/>
      <c r="G149" s="39"/>
      <c r="H149" s="39"/>
      <c r="I149" s="39"/>
    </row>
    <row r="150">
      <c r="A150" s="41"/>
      <c r="B150" s="20"/>
      <c r="C150" s="39"/>
      <c r="D150" s="39"/>
      <c r="E150" s="39"/>
      <c r="F150" s="39"/>
      <c r="G150" s="39"/>
      <c r="H150" s="39"/>
      <c r="I150" s="39"/>
    </row>
    <row r="151">
      <c r="A151" s="41"/>
      <c r="B151" s="20"/>
      <c r="C151" s="39"/>
      <c r="D151" s="39"/>
      <c r="E151" s="39"/>
      <c r="F151" s="39"/>
      <c r="G151" s="39"/>
      <c r="H151" s="39"/>
      <c r="I151" s="39"/>
    </row>
    <row r="152">
      <c r="A152" s="41"/>
      <c r="B152" s="20"/>
      <c r="C152" s="39"/>
      <c r="D152" s="39"/>
      <c r="E152" s="39"/>
      <c r="F152" s="39"/>
      <c r="G152" s="39"/>
      <c r="H152" s="39"/>
      <c r="I152" s="39"/>
    </row>
    <row r="153">
      <c r="A153" s="41"/>
      <c r="B153" s="20"/>
      <c r="C153" s="39"/>
      <c r="D153" s="39"/>
      <c r="E153" s="39"/>
      <c r="F153" s="39"/>
      <c r="G153" s="39"/>
      <c r="H153" s="39"/>
      <c r="I153" s="39"/>
    </row>
    <row r="154">
      <c r="A154" s="41"/>
      <c r="B154" s="20"/>
      <c r="C154" s="39"/>
      <c r="D154" s="39"/>
      <c r="E154" s="39"/>
      <c r="F154" s="39"/>
      <c r="G154" s="39"/>
      <c r="H154" s="39"/>
      <c r="I154" s="39"/>
    </row>
    <row r="155">
      <c r="A155" s="41"/>
      <c r="B155" s="20"/>
      <c r="C155" s="39"/>
      <c r="D155" s="39"/>
      <c r="E155" s="39"/>
      <c r="F155" s="39"/>
      <c r="G155" s="39"/>
      <c r="H155" s="39"/>
      <c r="I155" s="39"/>
    </row>
    <row r="156">
      <c r="A156" s="41"/>
      <c r="B156" s="20"/>
      <c r="C156" s="39"/>
      <c r="D156" s="39"/>
      <c r="E156" s="39"/>
      <c r="F156" s="39"/>
      <c r="G156" s="39"/>
      <c r="H156" s="39"/>
      <c r="I156" s="39"/>
    </row>
    <row r="157">
      <c r="A157" s="41"/>
      <c r="B157" s="20"/>
      <c r="C157" s="39"/>
      <c r="D157" s="39"/>
      <c r="E157" s="39"/>
      <c r="F157" s="39"/>
      <c r="G157" s="39"/>
      <c r="H157" s="39"/>
      <c r="I157" s="39"/>
    </row>
    <row r="158">
      <c r="A158" s="41"/>
      <c r="B158" s="20"/>
      <c r="C158" s="39"/>
      <c r="D158" s="39"/>
      <c r="E158" s="39"/>
      <c r="F158" s="39"/>
      <c r="G158" s="39"/>
      <c r="H158" s="39"/>
      <c r="I158" s="39"/>
    </row>
    <row r="159">
      <c r="A159" s="41"/>
      <c r="B159" s="20"/>
      <c r="C159" s="39"/>
      <c r="D159" s="39"/>
      <c r="E159" s="39"/>
      <c r="F159" s="39"/>
      <c r="G159" s="39"/>
      <c r="H159" s="39"/>
      <c r="I159" s="39"/>
    </row>
    <row r="160">
      <c r="A160" s="41"/>
      <c r="B160" s="20"/>
      <c r="C160" s="39"/>
      <c r="D160" s="39"/>
      <c r="E160" s="39"/>
      <c r="F160" s="39"/>
      <c r="G160" s="39"/>
      <c r="H160" s="39"/>
      <c r="I160" s="39"/>
    </row>
    <row r="161">
      <c r="A161" s="41"/>
      <c r="B161" s="20"/>
      <c r="C161" s="39"/>
      <c r="D161" s="39"/>
      <c r="E161" s="39"/>
      <c r="F161" s="39"/>
      <c r="G161" s="39"/>
      <c r="H161" s="39"/>
      <c r="I161" s="39"/>
    </row>
    <row r="162">
      <c r="A162" s="41"/>
      <c r="B162" s="20"/>
      <c r="C162" s="39"/>
      <c r="D162" s="39"/>
      <c r="E162" s="39"/>
      <c r="F162" s="39"/>
      <c r="G162" s="39"/>
      <c r="H162" s="39"/>
      <c r="I162" s="39"/>
    </row>
    <row r="163">
      <c r="A163" s="41"/>
      <c r="B163" s="20"/>
      <c r="C163" s="39"/>
      <c r="D163" s="39"/>
      <c r="E163" s="39"/>
      <c r="F163" s="39"/>
      <c r="G163" s="39"/>
      <c r="H163" s="39"/>
      <c r="I163" s="39"/>
    </row>
    <row r="164">
      <c r="A164" s="41"/>
      <c r="B164" s="20"/>
      <c r="C164" s="39"/>
      <c r="D164" s="39"/>
      <c r="E164" s="39"/>
      <c r="F164" s="39"/>
      <c r="G164" s="39"/>
      <c r="H164" s="39"/>
      <c r="I164" s="39"/>
    </row>
    <row r="165">
      <c r="A165" s="41"/>
      <c r="B165" s="20"/>
      <c r="C165" s="39"/>
      <c r="D165" s="39"/>
      <c r="E165" s="39"/>
      <c r="F165" s="39"/>
      <c r="G165" s="39"/>
      <c r="H165" s="39"/>
      <c r="I165" s="39"/>
    </row>
    <row r="166">
      <c r="A166" s="41"/>
      <c r="B166" s="20"/>
      <c r="C166" s="39"/>
      <c r="D166" s="39"/>
      <c r="E166" s="39"/>
      <c r="F166" s="39"/>
      <c r="G166" s="39"/>
      <c r="H166" s="39"/>
      <c r="I166" s="39"/>
    </row>
    <row r="167">
      <c r="A167" s="41"/>
      <c r="B167" s="20"/>
      <c r="C167" s="39"/>
      <c r="D167" s="39"/>
      <c r="E167" s="39"/>
      <c r="F167" s="39"/>
      <c r="G167" s="39"/>
      <c r="H167" s="39"/>
      <c r="I167" s="39"/>
    </row>
    <row r="168">
      <c r="A168" s="41"/>
      <c r="B168" s="20"/>
      <c r="C168" s="39"/>
      <c r="D168" s="39"/>
      <c r="E168" s="39"/>
      <c r="F168" s="39"/>
      <c r="G168" s="39"/>
      <c r="H168" s="39"/>
      <c r="I168" s="39"/>
    </row>
    <row r="169">
      <c r="A169" s="41"/>
      <c r="B169" s="20"/>
      <c r="C169" s="39"/>
      <c r="D169" s="39"/>
      <c r="E169" s="39"/>
      <c r="F169" s="39"/>
      <c r="G169" s="39"/>
      <c r="H169" s="39"/>
      <c r="I169" s="39"/>
    </row>
    <row r="170">
      <c r="A170" s="41"/>
      <c r="B170" s="20"/>
      <c r="C170" s="39"/>
      <c r="D170" s="39"/>
      <c r="E170" s="39"/>
      <c r="F170" s="39"/>
      <c r="G170" s="39"/>
      <c r="H170" s="39"/>
      <c r="I170" s="39"/>
    </row>
    <row r="171">
      <c r="A171" s="41"/>
      <c r="B171" s="20"/>
      <c r="C171" s="39"/>
      <c r="D171" s="39"/>
      <c r="E171" s="39"/>
      <c r="F171" s="39"/>
      <c r="G171" s="39"/>
      <c r="H171" s="39"/>
      <c r="I171" s="39"/>
    </row>
    <row r="172">
      <c r="A172" s="41"/>
      <c r="B172" s="20"/>
      <c r="C172" s="39"/>
      <c r="D172" s="39"/>
      <c r="E172" s="39"/>
      <c r="F172" s="39"/>
      <c r="G172" s="39"/>
      <c r="H172" s="39"/>
      <c r="I172" s="39"/>
    </row>
    <row r="173">
      <c r="A173" s="41"/>
      <c r="B173" s="20"/>
      <c r="C173" s="39"/>
      <c r="D173" s="39"/>
      <c r="E173" s="39"/>
      <c r="F173" s="39"/>
      <c r="G173" s="39"/>
      <c r="H173" s="39"/>
      <c r="I173" s="39"/>
    </row>
    <row r="174">
      <c r="A174" s="41"/>
      <c r="B174" s="20"/>
      <c r="C174" s="39"/>
      <c r="D174" s="39"/>
      <c r="E174" s="39"/>
      <c r="F174" s="39"/>
      <c r="G174" s="39"/>
      <c r="H174" s="39"/>
      <c r="I174" s="39"/>
    </row>
    <row r="175">
      <c r="A175" s="41"/>
      <c r="B175" s="20"/>
      <c r="C175" s="39"/>
      <c r="D175" s="39"/>
      <c r="E175" s="39"/>
      <c r="F175" s="39"/>
      <c r="G175" s="39"/>
      <c r="H175" s="39"/>
      <c r="I175" s="39"/>
    </row>
    <row r="176">
      <c r="A176" s="41"/>
      <c r="B176" s="20"/>
      <c r="C176" s="39"/>
      <c r="D176" s="39"/>
      <c r="E176" s="39"/>
      <c r="F176" s="39"/>
      <c r="G176" s="39"/>
      <c r="H176" s="39"/>
      <c r="I176" s="39"/>
    </row>
    <row r="177">
      <c r="A177" s="41"/>
      <c r="B177" s="20"/>
      <c r="C177" s="39"/>
      <c r="D177" s="39"/>
      <c r="E177" s="39"/>
      <c r="F177" s="39"/>
      <c r="G177" s="39"/>
      <c r="H177" s="39"/>
      <c r="I177" s="39"/>
    </row>
    <row r="178">
      <c r="A178" s="41"/>
      <c r="B178" s="20"/>
      <c r="C178" s="39"/>
      <c r="D178" s="39"/>
      <c r="E178" s="39"/>
      <c r="F178" s="39"/>
      <c r="G178" s="39"/>
      <c r="H178" s="39"/>
      <c r="I178" s="39"/>
    </row>
    <row r="179">
      <c r="A179" s="41"/>
      <c r="B179" s="20"/>
      <c r="C179" s="39"/>
      <c r="D179" s="39"/>
      <c r="E179" s="39"/>
      <c r="F179" s="39"/>
      <c r="G179" s="39"/>
      <c r="H179" s="39"/>
      <c r="I179" s="39"/>
    </row>
    <row r="180">
      <c r="A180" s="41"/>
      <c r="B180" s="20"/>
      <c r="C180" s="39"/>
      <c r="D180" s="39"/>
      <c r="E180" s="39"/>
      <c r="F180" s="39"/>
      <c r="G180" s="39"/>
      <c r="H180" s="39"/>
      <c r="I180" s="39"/>
    </row>
    <row r="181">
      <c r="A181" s="41"/>
      <c r="B181" s="20"/>
      <c r="C181" s="39"/>
      <c r="D181" s="39"/>
      <c r="E181" s="39"/>
      <c r="F181" s="39"/>
      <c r="G181" s="39"/>
      <c r="H181" s="39"/>
      <c r="I181" s="39"/>
    </row>
    <row r="182">
      <c r="A182" s="41"/>
      <c r="B182" s="20"/>
      <c r="C182" s="39"/>
      <c r="D182" s="39"/>
      <c r="E182" s="39"/>
      <c r="F182" s="39"/>
      <c r="G182" s="39"/>
      <c r="H182" s="39"/>
      <c r="I182" s="39"/>
    </row>
    <row r="183">
      <c r="A183" s="41"/>
      <c r="B183" s="20"/>
      <c r="C183" s="39"/>
      <c r="D183" s="39"/>
      <c r="E183" s="39"/>
      <c r="F183" s="39"/>
      <c r="G183" s="39"/>
      <c r="H183" s="39"/>
      <c r="I183" s="39"/>
    </row>
    <row r="184">
      <c r="A184" s="41"/>
      <c r="B184" s="20"/>
      <c r="C184" s="39"/>
      <c r="D184" s="39"/>
      <c r="E184" s="39"/>
      <c r="F184" s="39"/>
      <c r="G184" s="39"/>
      <c r="H184" s="39"/>
      <c r="I184" s="39"/>
    </row>
    <row r="185">
      <c r="A185" s="41"/>
      <c r="B185" s="20"/>
      <c r="C185" s="39"/>
      <c r="D185" s="39"/>
      <c r="E185" s="39"/>
      <c r="F185" s="39"/>
      <c r="G185" s="39"/>
      <c r="H185" s="39"/>
      <c r="I185" s="39"/>
    </row>
    <row r="186">
      <c r="A186" s="41"/>
      <c r="B186" s="20"/>
      <c r="C186" s="39"/>
      <c r="D186" s="39"/>
      <c r="E186" s="39"/>
      <c r="F186" s="39"/>
      <c r="G186" s="39"/>
      <c r="H186" s="39"/>
      <c r="I186" s="39"/>
    </row>
    <row r="187">
      <c r="A187" s="41"/>
      <c r="B187" s="20"/>
      <c r="C187" s="39"/>
      <c r="D187" s="39"/>
      <c r="E187" s="39"/>
      <c r="F187" s="39"/>
      <c r="G187" s="39"/>
      <c r="H187" s="39"/>
      <c r="I187" s="39"/>
    </row>
    <row r="188">
      <c r="A188" s="41"/>
      <c r="B188" s="20"/>
      <c r="C188" s="39"/>
      <c r="D188" s="39"/>
      <c r="E188" s="39"/>
      <c r="F188" s="39"/>
      <c r="G188" s="39"/>
      <c r="H188" s="39"/>
      <c r="I188" s="39"/>
    </row>
    <row r="189">
      <c r="A189" s="41"/>
      <c r="B189" s="20"/>
      <c r="C189" s="39"/>
      <c r="D189" s="39"/>
      <c r="E189" s="39"/>
      <c r="F189" s="39"/>
      <c r="G189" s="39"/>
      <c r="H189" s="39"/>
      <c r="I189" s="39"/>
    </row>
    <row r="190">
      <c r="A190" s="41"/>
      <c r="B190" s="20"/>
      <c r="C190" s="39"/>
      <c r="D190" s="39"/>
      <c r="E190" s="39"/>
      <c r="F190" s="39"/>
      <c r="G190" s="39"/>
      <c r="H190" s="39"/>
      <c r="I190" s="39"/>
    </row>
    <row r="191">
      <c r="A191" s="41"/>
      <c r="B191" s="20"/>
      <c r="C191" s="39"/>
      <c r="D191" s="39"/>
      <c r="E191" s="39"/>
      <c r="F191" s="39"/>
      <c r="G191" s="39"/>
      <c r="H191" s="39"/>
      <c r="I191" s="39"/>
    </row>
    <row r="192">
      <c r="A192" s="41"/>
      <c r="B192" s="20"/>
      <c r="C192" s="39"/>
      <c r="D192" s="39"/>
      <c r="E192" s="39"/>
      <c r="F192" s="39"/>
      <c r="G192" s="39"/>
      <c r="H192" s="39"/>
      <c r="I192" s="39"/>
    </row>
    <row r="193">
      <c r="A193" s="41"/>
      <c r="B193" s="20"/>
      <c r="C193" s="39"/>
      <c r="D193" s="39"/>
      <c r="E193" s="39"/>
      <c r="F193" s="39"/>
      <c r="G193" s="39"/>
      <c r="H193" s="39"/>
      <c r="I193" s="39"/>
    </row>
    <row r="194">
      <c r="A194" s="41"/>
      <c r="B194" s="20"/>
      <c r="C194" s="39"/>
      <c r="D194" s="39"/>
      <c r="E194" s="39"/>
      <c r="F194" s="39"/>
      <c r="G194" s="39"/>
      <c r="H194" s="39"/>
      <c r="I194" s="39"/>
    </row>
    <row r="195">
      <c r="A195" s="41"/>
      <c r="B195" s="20"/>
      <c r="C195" s="39"/>
      <c r="D195" s="39"/>
      <c r="E195" s="39"/>
      <c r="F195" s="39"/>
      <c r="G195" s="39"/>
      <c r="H195" s="39"/>
      <c r="I195" s="39"/>
    </row>
    <row r="196">
      <c r="A196" s="41"/>
      <c r="B196" s="20"/>
      <c r="C196" s="39"/>
      <c r="D196" s="39"/>
      <c r="E196" s="39"/>
      <c r="F196" s="39"/>
      <c r="G196" s="39"/>
      <c r="H196" s="39"/>
      <c r="I196" s="39"/>
    </row>
    <row r="197">
      <c r="A197" s="41"/>
      <c r="B197" s="20"/>
      <c r="C197" s="39"/>
      <c r="D197" s="39"/>
      <c r="E197" s="39"/>
      <c r="F197" s="39"/>
      <c r="G197" s="39"/>
      <c r="H197" s="39"/>
      <c r="I197" s="39"/>
    </row>
    <row r="198">
      <c r="A198" s="41"/>
      <c r="B198" s="20"/>
      <c r="C198" s="39"/>
      <c r="D198" s="39"/>
      <c r="E198" s="39"/>
      <c r="F198" s="39"/>
      <c r="G198" s="39"/>
      <c r="H198" s="39"/>
      <c r="I198" s="39"/>
    </row>
    <row r="199">
      <c r="A199" s="41"/>
      <c r="B199" s="20"/>
      <c r="C199" s="39"/>
      <c r="D199" s="39"/>
      <c r="E199" s="39"/>
      <c r="F199" s="39"/>
      <c r="G199" s="39"/>
      <c r="H199" s="39"/>
      <c r="I199" s="39"/>
    </row>
    <row r="200">
      <c r="A200" s="41"/>
      <c r="B200" s="20"/>
      <c r="C200" s="39"/>
      <c r="D200" s="39"/>
      <c r="E200" s="39"/>
      <c r="F200" s="39"/>
      <c r="G200" s="39"/>
      <c r="H200" s="39"/>
      <c r="I200" s="39"/>
    </row>
    <row r="201">
      <c r="A201" s="41"/>
      <c r="B201" s="20"/>
      <c r="C201" s="39"/>
      <c r="D201" s="39"/>
      <c r="E201" s="39"/>
      <c r="F201" s="39"/>
      <c r="G201" s="39"/>
      <c r="H201" s="39"/>
      <c r="I201" s="39"/>
    </row>
    <row r="202">
      <c r="A202" s="41"/>
      <c r="B202" s="20"/>
      <c r="C202" s="39"/>
      <c r="D202" s="39"/>
      <c r="E202" s="39"/>
      <c r="F202" s="39"/>
      <c r="G202" s="39"/>
      <c r="H202" s="39"/>
      <c r="I202" s="39"/>
    </row>
    <row r="203">
      <c r="A203" s="41"/>
      <c r="B203" s="20"/>
      <c r="C203" s="39"/>
      <c r="D203" s="39"/>
      <c r="E203" s="39"/>
      <c r="F203" s="39"/>
      <c r="G203" s="39"/>
      <c r="H203" s="39"/>
      <c r="I203" s="39"/>
    </row>
    <row r="204">
      <c r="A204" s="41"/>
      <c r="B204" s="20"/>
      <c r="C204" s="39"/>
      <c r="D204" s="39"/>
      <c r="E204" s="39"/>
      <c r="F204" s="39"/>
      <c r="G204" s="39"/>
      <c r="H204" s="39"/>
      <c r="I204" s="39"/>
    </row>
    <row r="205">
      <c r="A205" s="41"/>
      <c r="B205" s="20"/>
      <c r="C205" s="39"/>
      <c r="D205" s="39"/>
      <c r="E205" s="39"/>
      <c r="F205" s="39"/>
      <c r="G205" s="39"/>
      <c r="H205" s="39"/>
      <c r="I205" s="39"/>
    </row>
    <row r="206">
      <c r="A206" s="41"/>
      <c r="B206" s="20"/>
      <c r="C206" s="39"/>
      <c r="D206" s="39"/>
      <c r="E206" s="39"/>
      <c r="F206" s="39"/>
      <c r="G206" s="39"/>
      <c r="H206" s="39"/>
      <c r="I206" s="39"/>
    </row>
    <row r="207">
      <c r="A207" s="41"/>
      <c r="B207" s="20"/>
      <c r="C207" s="39"/>
      <c r="D207" s="39"/>
      <c r="E207" s="39"/>
      <c r="F207" s="39"/>
      <c r="G207" s="39"/>
      <c r="H207" s="39"/>
      <c r="I207" s="39"/>
    </row>
    <row r="208">
      <c r="A208" s="41"/>
      <c r="B208" s="20"/>
      <c r="C208" s="39"/>
      <c r="D208" s="39"/>
      <c r="E208" s="39"/>
      <c r="F208" s="39"/>
      <c r="G208" s="39"/>
      <c r="H208" s="39"/>
      <c r="I208" s="39"/>
    </row>
    <row r="209">
      <c r="A209" s="41"/>
      <c r="B209" s="20"/>
      <c r="C209" s="39"/>
      <c r="D209" s="39"/>
      <c r="E209" s="39"/>
      <c r="F209" s="39"/>
      <c r="G209" s="39"/>
      <c r="H209" s="39"/>
      <c r="I209" s="39"/>
    </row>
    <row r="210">
      <c r="A210" s="41"/>
      <c r="B210" s="20"/>
      <c r="C210" s="39"/>
      <c r="D210" s="39"/>
      <c r="E210" s="39"/>
      <c r="F210" s="39"/>
      <c r="G210" s="39"/>
      <c r="H210" s="39"/>
      <c r="I210" s="39"/>
    </row>
    <row r="211">
      <c r="A211" s="41"/>
      <c r="B211" s="20"/>
      <c r="C211" s="39"/>
      <c r="D211" s="39"/>
      <c r="E211" s="39"/>
      <c r="F211" s="39"/>
      <c r="G211" s="39"/>
      <c r="H211" s="39"/>
      <c r="I211" s="39"/>
    </row>
    <row r="212">
      <c r="A212" s="41"/>
      <c r="B212" s="20"/>
      <c r="C212" s="39"/>
      <c r="D212" s="39"/>
      <c r="E212" s="39"/>
      <c r="F212" s="39"/>
      <c r="G212" s="39"/>
      <c r="H212" s="39"/>
      <c r="I212" s="39"/>
    </row>
    <row r="213">
      <c r="A213" s="41"/>
      <c r="B213" s="20"/>
      <c r="C213" s="39"/>
      <c r="D213" s="39"/>
      <c r="E213" s="39"/>
      <c r="F213" s="39"/>
      <c r="G213" s="39"/>
      <c r="H213" s="39"/>
      <c r="I213" s="39"/>
    </row>
    <row r="214">
      <c r="A214" s="41"/>
      <c r="B214" s="20"/>
      <c r="C214" s="39"/>
      <c r="D214" s="39"/>
      <c r="E214" s="39"/>
      <c r="F214" s="39"/>
      <c r="G214" s="39"/>
      <c r="H214" s="39"/>
      <c r="I214" s="39"/>
    </row>
    <row r="215">
      <c r="A215" s="41"/>
      <c r="B215" s="20"/>
      <c r="C215" s="39"/>
      <c r="D215" s="39"/>
      <c r="E215" s="39"/>
      <c r="F215" s="39"/>
      <c r="G215" s="39"/>
      <c r="H215" s="39"/>
      <c r="I215" s="39"/>
    </row>
    <row r="216">
      <c r="A216" s="41"/>
      <c r="B216" s="20"/>
      <c r="C216" s="39"/>
      <c r="D216" s="39"/>
      <c r="E216" s="39"/>
      <c r="F216" s="39"/>
      <c r="G216" s="39"/>
      <c r="H216" s="39"/>
      <c r="I216" s="39"/>
    </row>
    <row r="217">
      <c r="A217" s="41"/>
      <c r="B217" s="20"/>
      <c r="C217" s="39"/>
      <c r="D217" s="39"/>
      <c r="E217" s="39"/>
      <c r="F217" s="39"/>
      <c r="G217" s="39"/>
      <c r="H217" s="39"/>
      <c r="I217" s="39"/>
    </row>
    <row r="218">
      <c r="A218" s="41"/>
      <c r="B218" s="20"/>
      <c r="C218" s="39"/>
      <c r="D218" s="39"/>
      <c r="E218" s="39"/>
      <c r="F218" s="39"/>
      <c r="G218" s="39"/>
      <c r="H218" s="39"/>
      <c r="I218" s="39"/>
    </row>
    <row r="219">
      <c r="A219" s="41"/>
      <c r="B219" s="20"/>
      <c r="C219" s="39"/>
      <c r="D219" s="39"/>
      <c r="E219" s="39"/>
      <c r="F219" s="39"/>
      <c r="G219" s="39"/>
      <c r="H219" s="39"/>
      <c r="I219" s="39"/>
    </row>
    <row r="220">
      <c r="A220" s="41"/>
      <c r="B220" s="20"/>
      <c r="C220" s="39"/>
      <c r="D220" s="39"/>
      <c r="E220" s="39"/>
      <c r="F220" s="39"/>
      <c r="G220" s="39"/>
      <c r="H220" s="39"/>
      <c r="I220" s="39"/>
    </row>
    <row r="221">
      <c r="A221" s="41"/>
      <c r="B221" s="20"/>
      <c r="C221" s="39"/>
      <c r="D221" s="39"/>
      <c r="E221" s="39"/>
      <c r="F221" s="39"/>
      <c r="G221" s="39"/>
      <c r="H221" s="39"/>
      <c r="I221" s="39"/>
    </row>
    <row r="222">
      <c r="A222" s="41"/>
      <c r="B222" s="20"/>
      <c r="C222" s="39"/>
      <c r="D222" s="39"/>
      <c r="E222" s="39"/>
      <c r="F222" s="39"/>
      <c r="G222" s="39"/>
      <c r="H222" s="39"/>
      <c r="I222" s="39"/>
    </row>
    <row r="223">
      <c r="A223" s="41"/>
      <c r="B223" s="20"/>
      <c r="C223" s="39"/>
      <c r="D223" s="39"/>
      <c r="E223" s="39"/>
      <c r="F223" s="39"/>
      <c r="G223" s="39"/>
      <c r="H223" s="39"/>
      <c r="I223" s="39"/>
    </row>
    <row r="224">
      <c r="A224" s="41"/>
      <c r="B224" s="20"/>
      <c r="C224" s="39"/>
      <c r="D224" s="39"/>
      <c r="E224" s="39"/>
      <c r="F224" s="39"/>
      <c r="G224" s="39"/>
      <c r="H224" s="39"/>
      <c r="I224" s="39"/>
    </row>
    <row r="225">
      <c r="A225" s="41"/>
      <c r="B225" s="20"/>
      <c r="C225" s="39"/>
      <c r="D225" s="39"/>
      <c r="E225" s="39"/>
      <c r="F225" s="39"/>
      <c r="G225" s="39"/>
      <c r="H225" s="39"/>
      <c r="I225" s="39"/>
    </row>
    <row r="226">
      <c r="A226" s="41"/>
      <c r="B226" s="20"/>
      <c r="C226" s="39"/>
      <c r="D226" s="39"/>
      <c r="E226" s="39"/>
      <c r="F226" s="39"/>
      <c r="G226" s="39"/>
      <c r="H226" s="39"/>
      <c r="I226" s="39"/>
    </row>
    <row r="227">
      <c r="A227" s="41"/>
      <c r="B227" s="20"/>
      <c r="C227" s="39"/>
      <c r="D227" s="39"/>
      <c r="E227" s="39"/>
      <c r="F227" s="39"/>
      <c r="G227" s="39"/>
      <c r="H227" s="39"/>
      <c r="I227" s="39"/>
    </row>
    <row r="228">
      <c r="A228" s="41"/>
      <c r="B228" s="20"/>
      <c r="C228" s="39"/>
      <c r="D228" s="39"/>
      <c r="E228" s="39"/>
      <c r="F228" s="39"/>
      <c r="G228" s="39"/>
      <c r="H228" s="39"/>
      <c r="I228" s="39"/>
    </row>
    <row r="229">
      <c r="A229" s="41"/>
      <c r="B229" s="20"/>
      <c r="C229" s="39"/>
      <c r="D229" s="39"/>
      <c r="E229" s="39"/>
      <c r="F229" s="39"/>
      <c r="G229" s="39"/>
      <c r="H229" s="39"/>
      <c r="I229" s="39"/>
    </row>
    <row r="230">
      <c r="A230" s="41"/>
      <c r="B230" s="20"/>
      <c r="C230" s="39"/>
      <c r="D230" s="39"/>
      <c r="E230" s="39"/>
      <c r="F230" s="39"/>
      <c r="G230" s="39"/>
      <c r="H230" s="39"/>
      <c r="I230" s="39"/>
    </row>
    <row r="231">
      <c r="A231" s="41"/>
      <c r="B231" s="20"/>
      <c r="C231" s="39"/>
      <c r="D231" s="39"/>
      <c r="E231" s="39"/>
      <c r="F231" s="39"/>
      <c r="G231" s="39"/>
      <c r="H231" s="39"/>
      <c r="I231" s="39"/>
    </row>
    <row r="232">
      <c r="A232" s="41"/>
      <c r="B232" s="20"/>
      <c r="C232" s="39"/>
      <c r="D232" s="39"/>
      <c r="E232" s="39"/>
      <c r="F232" s="39"/>
      <c r="G232" s="39"/>
      <c r="H232" s="39"/>
      <c r="I232" s="39"/>
    </row>
    <row r="233">
      <c r="A233" s="41"/>
      <c r="B233" s="20"/>
      <c r="C233" s="39"/>
      <c r="D233" s="39"/>
      <c r="E233" s="39"/>
      <c r="F233" s="39"/>
      <c r="G233" s="39"/>
      <c r="H233" s="39"/>
      <c r="I233" s="39"/>
    </row>
    <row r="234">
      <c r="A234" s="41"/>
      <c r="B234" s="20"/>
      <c r="C234" s="39"/>
      <c r="D234" s="39"/>
      <c r="E234" s="39"/>
      <c r="F234" s="39"/>
      <c r="G234" s="39"/>
      <c r="H234" s="39"/>
      <c r="I234" s="39"/>
    </row>
    <row r="235">
      <c r="A235" s="41"/>
      <c r="B235" s="20"/>
      <c r="C235" s="39"/>
      <c r="D235" s="39"/>
      <c r="E235" s="39"/>
      <c r="F235" s="39"/>
      <c r="G235" s="39"/>
      <c r="H235" s="39"/>
      <c r="I235" s="39"/>
    </row>
    <row r="236">
      <c r="A236" s="41"/>
      <c r="B236" s="20"/>
      <c r="C236" s="39"/>
      <c r="D236" s="39"/>
      <c r="E236" s="39"/>
      <c r="F236" s="39"/>
      <c r="G236" s="39"/>
      <c r="H236" s="39"/>
      <c r="I236" s="39"/>
    </row>
    <row r="237">
      <c r="A237" s="41"/>
      <c r="B237" s="20"/>
      <c r="C237" s="39"/>
      <c r="D237" s="39"/>
      <c r="E237" s="39"/>
      <c r="F237" s="39"/>
      <c r="G237" s="39"/>
      <c r="H237" s="39"/>
      <c r="I237" s="39"/>
    </row>
    <row r="238">
      <c r="A238" s="41"/>
      <c r="B238" s="20"/>
      <c r="C238" s="39"/>
      <c r="D238" s="39"/>
      <c r="E238" s="39"/>
      <c r="F238" s="39"/>
      <c r="G238" s="39"/>
      <c r="H238" s="39"/>
      <c r="I238" s="39"/>
    </row>
    <row r="239">
      <c r="A239" s="41"/>
      <c r="B239" s="20"/>
      <c r="C239" s="39"/>
      <c r="D239" s="39"/>
      <c r="E239" s="39"/>
      <c r="F239" s="39"/>
      <c r="G239" s="39"/>
      <c r="H239" s="39"/>
      <c r="I239" s="39"/>
    </row>
    <row r="240">
      <c r="A240" s="41"/>
      <c r="B240" s="20"/>
      <c r="C240" s="39"/>
      <c r="D240" s="39"/>
      <c r="E240" s="39"/>
      <c r="F240" s="39"/>
      <c r="G240" s="39"/>
      <c r="H240" s="39"/>
      <c r="I240" s="39"/>
    </row>
    <row r="241">
      <c r="A241" s="41"/>
      <c r="B241" s="20"/>
      <c r="C241" s="39"/>
      <c r="D241" s="39"/>
      <c r="E241" s="39"/>
      <c r="F241" s="39"/>
      <c r="G241" s="39"/>
      <c r="H241" s="39"/>
      <c r="I241" s="39"/>
    </row>
    <row r="242">
      <c r="A242" s="41"/>
      <c r="B242" s="20"/>
      <c r="C242" s="39"/>
      <c r="D242" s="39"/>
      <c r="E242" s="39"/>
      <c r="F242" s="39"/>
      <c r="G242" s="39"/>
      <c r="H242" s="39"/>
      <c r="I242" s="39"/>
    </row>
    <row r="243">
      <c r="A243" s="41"/>
      <c r="B243" s="20"/>
      <c r="C243" s="39"/>
      <c r="D243" s="39"/>
      <c r="E243" s="39"/>
      <c r="F243" s="39"/>
      <c r="G243" s="39"/>
      <c r="H243" s="39"/>
      <c r="I243" s="39"/>
    </row>
    <row r="244">
      <c r="A244" s="41"/>
      <c r="B244" s="20"/>
      <c r="C244" s="39"/>
      <c r="D244" s="39"/>
      <c r="E244" s="39"/>
      <c r="F244" s="39"/>
      <c r="G244" s="39"/>
      <c r="H244" s="39"/>
      <c r="I244" s="39"/>
    </row>
    <row r="245">
      <c r="A245" s="41"/>
      <c r="B245" s="20"/>
      <c r="C245" s="39"/>
      <c r="D245" s="39"/>
      <c r="E245" s="39"/>
      <c r="F245" s="39"/>
      <c r="G245" s="39"/>
      <c r="H245" s="39"/>
      <c r="I245" s="39"/>
    </row>
    <row r="246">
      <c r="A246" s="41"/>
      <c r="B246" s="20"/>
      <c r="C246" s="39"/>
      <c r="D246" s="39"/>
      <c r="E246" s="39"/>
      <c r="F246" s="39"/>
      <c r="G246" s="39"/>
      <c r="H246" s="39"/>
      <c r="I246" s="39"/>
    </row>
    <row r="247">
      <c r="A247" s="41"/>
      <c r="B247" s="20"/>
      <c r="C247" s="39"/>
      <c r="D247" s="39"/>
      <c r="E247" s="39"/>
      <c r="F247" s="39"/>
      <c r="G247" s="39"/>
      <c r="H247" s="39"/>
      <c r="I247" s="39"/>
    </row>
    <row r="248">
      <c r="A248" s="41"/>
      <c r="B248" s="20"/>
      <c r="C248" s="39"/>
      <c r="D248" s="39"/>
      <c r="E248" s="39"/>
      <c r="F248" s="39"/>
      <c r="G248" s="39"/>
      <c r="H248" s="39"/>
      <c r="I248" s="39"/>
    </row>
    <row r="249">
      <c r="A249" s="41"/>
      <c r="B249" s="20"/>
      <c r="C249" s="39"/>
      <c r="D249" s="39"/>
      <c r="E249" s="39"/>
      <c r="F249" s="39"/>
      <c r="G249" s="39"/>
      <c r="H249" s="39"/>
      <c r="I249" s="39"/>
    </row>
    <row r="250">
      <c r="A250" s="41"/>
      <c r="B250" s="20"/>
      <c r="C250" s="39"/>
      <c r="D250" s="39"/>
      <c r="E250" s="39"/>
      <c r="F250" s="39"/>
      <c r="G250" s="39"/>
      <c r="H250" s="39"/>
      <c r="I250" s="39"/>
    </row>
    <row r="251">
      <c r="A251" s="41"/>
      <c r="B251" s="20"/>
      <c r="C251" s="39"/>
      <c r="D251" s="39"/>
      <c r="E251" s="39"/>
      <c r="F251" s="39"/>
      <c r="G251" s="39"/>
      <c r="H251" s="39"/>
      <c r="I251" s="39"/>
    </row>
    <row r="252">
      <c r="A252" s="41"/>
      <c r="B252" s="20"/>
      <c r="C252" s="39"/>
      <c r="D252" s="39"/>
      <c r="E252" s="39"/>
      <c r="F252" s="39"/>
      <c r="G252" s="39"/>
      <c r="H252" s="39"/>
      <c r="I252" s="39"/>
    </row>
    <row r="253">
      <c r="A253" s="41"/>
      <c r="B253" s="20"/>
      <c r="C253" s="39"/>
      <c r="D253" s="39"/>
      <c r="E253" s="39"/>
      <c r="F253" s="39"/>
      <c r="G253" s="39"/>
      <c r="H253" s="39"/>
      <c r="I253" s="39"/>
    </row>
    <row r="254">
      <c r="A254" s="41"/>
      <c r="B254" s="20"/>
      <c r="C254" s="39"/>
      <c r="D254" s="39"/>
      <c r="E254" s="39"/>
      <c r="F254" s="39"/>
      <c r="G254" s="39"/>
      <c r="H254" s="39"/>
      <c r="I254" s="39"/>
    </row>
    <row r="255">
      <c r="A255" s="41"/>
      <c r="B255" s="20"/>
      <c r="C255" s="39"/>
      <c r="D255" s="39"/>
      <c r="E255" s="39"/>
      <c r="F255" s="39"/>
      <c r="G255" s="39"/>
      <c r="H255" s="39"/>
      <c r="I255" s="39"/>
    </row>
    <row r="256">
      <c r="A256" s="41"/>
      <c r="B256" s="20"/>
      <c r="C256" s="39"/>
      <c r="D256" s="39"/>
      <c r="E256" s="39"/>
      <c r="F256" s="39"/>
      <c r="G256" s="39"/>
      <c r="H256" s="39"/>
      <c r="I256" s="39"/>
    </row>
    <row r="257">
      <c r="A257" s="41"/>
      <c r="B257" s="20"/>
      <c r="C257" s="39"/>
      <c r="D257" s="39"/>
      <c r="E257" s="39"/>
      <c r="F257" s="39"/>
      <c r="G257" s="39"/>
      <c r="H257" s="39"/>
      <c r="I257" s="39"/>
    </row>
    <row r="258">
      <c r="A258" s="41"/>
      <c r="B258" s="20"/>
      <c r="C258" s="39"/>
      <c r="D258" s="39"/>
      <c r="E258" s="39"/>
      <c r="F258" s="39"/>
      <c r="G258" s="39"/>
      <c r="H258" s="39"/>
      <c r="I258" s="39"/>
    </row>
    <row r="259">
      <c r="A259" s="41"/>
      <c r="B259" s="20"/>
      <c r="C259" s="39"/>
      <c r="D259" s="39"/>
      <c r="E259" s="39"/>
      <c r="F259" s="39"/>
      <c r="G259" s="39"/>
      <c r="H259" s="39"/>
      <c r="I259" s="39"/>
    </row>
    <row r="260">
      <c r="A260" s="41"/>
      <c r="B260" s="20"/>
      <c r="C260" s="39"/>
      <c r="D260" s="39"/>
      <c r="E260" s="39"/>
      <c r="F260" s="39"/>
      <c r="G260" s="39"/>
      <c r="H260" s="39"/>
      <c r="I260" s="39"/>
    </row>
    <row r="261">
      <c r="A261" s="41"/>
      <c r="B261" s="20"/>
      <c r="C261" s="39"/>
      <c r="D261" s="39"/>
      <c r="E261" s="39"/>
      <c r="F261" s="39"/>
      <c r="G261" s="39"/>
      <c r="H261" s="39"/>
      <c r="I261" s="39"/>
    </row>
    <row r="262">
      <c r="A262" s="41"/>
      <c r="B262" s="20"/>
      <c r="C262" s="39"/>
      <c r="D262" s="39"/>
      <c r="E262" s="39"/>
      <c r="F262" s="39"/>
      <c r="G262" s="39"/>
      <c r="H262" s="39"/>
      <c r="I262" s="39"/>
    </row>
    <row r="263">
      <c r="A263" s="41"/>
      <c r="B263" s="20"/>
      <c r="C263" s="39"/>
      <c r="D263" s="39"/>
      <c r="E263" s="39"/>
      <c r="F263" s="39"/>
      <c r="G263" s="39"/>
      <c r="H263" s="39"/>
      <c r="I263" s="39"/>
    </row>
    <row r="264">
      <c r="A264" s="41"/>
      <c r="B264" s="20"/>
      <c r="C264" s="39"/>
      <c r="D264" s="39"/>
      <c r="E264" s="39"/>
      <c r="F264" s="39"/>
      <c r="G264" s="39"/>
      <c r="H264" s="39"/>
      <c r="I264" s="39"/>
    </row>
    <row r="265">
      <c r="A265" s="41"/>
      <c r="B265" s="20"/>
      <c r="C265" s="39"/>
      <c r="D265" s="39"/>
      <c r="E265" s="39"/>
      <c r="F265" s="39"/>
      <c r="G265" s="39"/>
      <c r="H265" s="39"/>
      <c r="I265" s="39"/>
    </row>
    <row r="266">
      <c r="A266" s="41"/>
      <c r="B266" s="20"/>
      <c r="C266" s="39"/>
      <c r="D266" s="39"/>
      <c r="E266" s="39"/>
      <c r="F266" s="39"/>
      <c r="G266" s="39"/>
      <c r="H266" s="39"/>
      <c r="I266" s="39"/>
    </row>
    <row r="267">
      <c r="A267" s="41"/>
      <c r="B267" s="20"/>
      <c r="C267" s="39"/>
      <c r="D267" s="39"/>
      <c r="E267" s="39"/>
      <c r="F267" s="39"/>
      <c r="G267" s="39"/>
      <c r="H267" s="39"/>
      <c r="I267" s="39"/>
    </row>
    <row r="268">
      <c r="A268" s="41"/>
      <c r="B268" s="20"/>
      <c r="C268" s="39"/>
      <c r="D268" s="39"/>
      <c r="E268" s="39"/>
      <c r="F268" s="39"/>
      <c r="G268" s="39"/>
      <c r="H268" s="39"/>
      <c r="I268" s="39"/>
    </row>
    <row r="269">
      <c r="A269" s="41"/>
      <c r="B269" s="20"/>
      <c r="C269" s="39"/>
      <c r="D269" s="39"/>
      <c r="E269" s="39"/>
      <c r="F269" s="39"/>
      <c r="G269" s="39"/>
      <c r="H269" s="39"/>
      <c r="I269" s="39"/>
    </row>
    <row r="270">
      <c r="A270" s="41"/>
      <c r="B270" s="20"/>
      <c r="C270" s="39"/>
      <c r="D270" s="39"/>
      <c r="E270" s="39"/>
      <c r="F270" s="39"/>
      <c r="G270" s="39"/>
      <c r="H270" s="39"/>
      <c r="I270" s="39"/>
    </row>
    <row r="271">
      <c r="A271" s="41"/>
      <c r="B271" s="20"/>
      <c r="C271" s="39"/>
      <c r="D271" s="39"/>
      <c r="E271" s="39"/>
      <c r="F271" s="39"/>
      <c r="G271" s="39"/>
      <c r="H271" s="39"/>
      <c r="I271" s="39"/>
    </row>
    <row r="272">
      <c r="A272" s="41"/>
      <c r="B272" s="20"/>
      <c r="C272" s="39"/>
      <c r="D272" s="39"/>
      <c r="E272" s="39"/>
      <c r="F272" s="39"/>
      <c r="G272" s="39"/>
      <c r="H272" s="39"/>
      <c r="I272" s="39"/>
    </row>
    <row r="273">
      <c r="A273" s="41"/>
      <c r="B273" s="20"/>
      <c r="C273" s="39"/>
      <c r="D273" s="39"/>
      <c r="E273" s="39"/>
      <c r="F273" s="39"/>
      <c r="G273" s="39"/>
      <c r="H273" s="39"/>
      <c r="I273" s="39"/>
    </row>
    <row r="274">
      <c r="A274" s="41"/>
      <c r="B274" s="20"/>
      <c r="C274" s="39"/>
      <c r="D274" s="39"/>
      <c r="E274" s="39"/>
      <c r="F274" s="39"/>
      <c r="G274" s="39"/>
      <c r="H274" s="39"/>
      <c r="I274" s="39"/>
    </row>
    <row r="275">
      <c r="A275" s="41"/>
      <c r="B275" s="20"/>
      <c r="C275" s="39"/>
      <c r="D275" s="39"/>
      <c r="E275" s="39"/>
      <c r="F275" s="39"/>
      <c r="G275" s="39"/>
      <c r="H275" s="39"/>
      <c r="I275" s="39"/>
    </row>
    <row r="276">
      <c r="A276" s="41"/>
      <c r="B276" s="20"/>
      <c r="C276" s="39"/>
      <c r="D276" s="39"/>
      <c r="E276" s="39"/>
      <c r="F276" s="39"/>
      <c r="G276" s="39"/>
      <c r="H276" s="39"/>
      <c r="I276" s="39"/>
    </row>
    <row r="277">
      <c r="A277" s="41"/>
      <c r="B277" s="20"/>
      <c r="C277" s="39"/>
      <c r="D277" s="39"/>
      <c r="E277" s="39"/>
      <c r="F277" s="39"/>
      <c r="G277" s="39"/>
      <c r="H277" s="39"/>
      <c r="I277" s="39"/>
    </row>
    <row r="278">
      <c r="A278" s="41"/>
      <c r="B278" s="20"/>
      <c r="C278" s="39"/>
      <c r="D278" s="39"/>
      <c r="E278" s="39"/>
      <c r="F278" s="39"/>
      <c r="G278" s="39"/>
      <c r="H278" s="39"/>
      <c r="I278" s="39"/>
    </row>
    <row r="279">
      <c r="A279" s="41"/>
      <c r="B279" s="20"/>
      <c r="C279" s="39"/>
      <c r="D279" s="39"/>
      <c r="E279" s="39"/>
      <c r="F279" s="39"/>
      <c r="G279" s="39"/>
      <c r="H279" s="39"/>
      <c r="I279" s="39"/>
    </row>
    <row r="280">
      <c r="A280" s="41"/>
      <c r="B280" s="20"/>
      <c r="C280" s="39"/>
      <c r="D280" s="39"/>
      <c r="E280" s="39"/>
      <c r="F280" s="39"/>
      <c r="G280" s="39"/>
      <c r="H280" s="39"/>
      <c r="I280" s="39"/>
    </row>
    <row r="281">
      <c r="A281" s="41"/>
      <c r="B281" s="20"/>
      <c r="C281" s="39"/>
      <c r="D281" s="39"/>
      <c r="E281" s="39"/>
      <c r="F281" s="39"/>
      <c r="G281" s="39"/>
      <c r="H281" s="39"/>
      <c r="I281" s="39"/>
    </row>
    <row r="282">
      <c r="A282" s="41"/>
      <c r="B282" s="20"/>
      <c r="C282" s="39"/>
      <c r="D282" s="39"/>
      <c r="E282" s="39"/>
      <c r="F282" s="39"/>
      <c r="G282" s="39"/>
      <c r="H282" s="39"/>
      <c r="I282" s="39"/>
    </row>
    <row r="283">
      <c r="A283" s="41"/>
      <c r="B283" s="20"/>
      <c r="C283" s="39"/>
      <c r="D283" s="39"/>
      <c r="E283" s="39"/>
      <c r="F283" s="39"/>
      <c r="G283" s="39"/>
      <c r="H283" s="39"/>
      <c r="I283" s="39"/>
    </row>
    <row r="284">
      <c r="A284" s="41"/>
      <c r="B284" s="20"/>
      <c r="C284" s="39"/>
      <c r="D284" s="39"/>
      <c r="E284" s="39"/>
      <c r="F284" s="39"/>
      <c r="G284" s="39"/>
      <c r="H284" s="39"/>
      <c r="I284" s="39"/>
    </row>
    <row r="285">
      <c r="A285" s="41"/>
      <c r="B285" s="20"/>
      <c r="C285" s="39"/>
      <c r="D285" s="39"/>
      <c r="E285" s="39"/>
      <c r="F285" s="39"/>
      <c r="G285" s="39"/>
      <c r="H285" s="39"/>
      <c r="I285" s="39"/>
    </row>
    <row r="286">
      <c r="A286" s="41"/>
      <c r="B286" s="20"/>
      <c r="C286" s="39"/>
      <c r="D286" s="39"/>
      <c r="E286" s="39"/>
      <c r="F286" s="39"/>
      <c r="G286" s="39"/>
      <c r="H286" s="39"/>
      <c r="I286" s="39"/>
    </row>
    <row r="287">
      <c r="A287" s="41"/>
      <c r="B287" s="20"/>
      <c r="C287" s="39"/>
      <c r="D287" s="39"/>
      <c r="E287" s="39"/>
      <c r="F287" s="39"/>
      <c r="G287" s="39"/>
      <c r="H287" s="39"/>
      <c r="I287" s="39"/>
    </row>
    <row r="288">
      <c r="A288" s="41"/>
      <c r="B288" s="20"/>
      <c r="C288" s="39"/>
      <c r="D288" s="39"/>
      <c r="E288" s="39"/>
      <c r="F288" s="39"/>
      <c r="G288" s="39"/>
      <c r="H288" s="39"/>
      <c r="I288" s="39"/>
    </row>
    <row r="289">
      <c r="A289" s="41"/>
      <c r="B289" s="20"/>
      <c r="C289" s="39"/>
      <c r="D289" s="39"/>
      <c r="E289" s="39"/>
      <c r="F289" s="39"/>
      <c r="G289" s="39"/>
      <c r="H289" s="39"/>
      <c r="I289" s="39"/>
    </row>
    <row r="290">
      <c r="A290" s="41"/>
      <c r="B290" s="20"/>
      <c r="C290" s="39"/>
      <c r="D290" s="39"/>
      <c r="E290" s="39"/>
      <c r="F290" s="39"/>
      <c r="G290" s="39"/>
      <c r="H290" s="39"/>
      <c r="I290" s="39"/>
    </row>
    <row r="291">
      <c r="A291" s="41"/>
      <c r="B291" s="20"/>
      <c r="C291" s="39"/>
      <c r="D291" s="39"/>
      <c r="E291" s="39"/>
      <c r="F291" s="39"/>
      <c r="G291" s="39"/>
      <c r="H291" s="39"/>
      <c r="I291" s="39"/>
    </row>
    <row r="292">
      <c r="A292" s="41"/>
      <c r="B292" s="20"/>
      <c r="C292" s="39"/>
      <c r="D292" s="39"/>
      <c r="E292" s="39"/>
      <c r="F292" s="39"/>
      <c r="G292" s="39"/>
      <c r="H292" s="39"/>
      <c r="I292" s="39"/>
    </row>
    <row r="293">
      <c r="A293" s="41"/>
      <c r="B293" s="20"/>
      <c r="C293" s="39"/>
      <c r="D293" s="39"/>
      <c r="E293" s="39"/>
      <c r="F293" s="39"/>
      <c r="G293" s="39"/>
      <c r="H293" s="39"/>
      <c r="I293" s="39"/>
    </row>
    <row r="294">
      <c r="A294" s="41"/>
      <c r="B294" s="20"/>
      <c r="C294" s="39"/>
      <c r="D294" s="39"/>
      <c r="E294" s="39"/>
      <c r="F294" s="39"/>
      <c r="G294" s="39"/>
      <c r="H294" s="39"/>
      <c r="I294" s="39"/>
    </row>
    <row r="295">
      <c r="A295" s="41"/>
      <c r="B295" s="20"/>
      <c r="C295" s="39"/>
      <c r="D295" s="39"/>
      <c r="E295" s="39"/>
      <c r="F295" s="39"/>
      <c r="G295" s="39"/>
      <c r="H295" s="39"/>
      <c r="I295" s="39"/>
    </row>
    <row r="296">
      <c r="A296" s="41"/>
      <c r="B296" s="20"/>
      <c r="C296" s="39"/>
      <c r="D296" s="39"/>
      <c r="E296" s="39"/>
      <c r="F296" s="39"/>
      <c r="G296" s="39"/>
      <c r="H296" s="39"/>
      <c r="I296" s="39"/>
    </row>
    <row r="297">
      <c r="A297" s="41"/>
      <c r="B297" s="20"/>
      <c r="C297" s="39"/>
      <c r="D297" s="39"/>
      <c r="E297" s="39"/>
      <c r="F297" s="39"/>
      <c r="G297" s="39"/>
      <c r="H297" s="39"/>
      <c r="I297" s="39"/>
    </row>
    <row r="298">
      <c r="A298" s="41"/>
      <c r="B298" s="20"/>
      <c r="C298" s="39"/>
      <c r="D298" s="39"/>
      <c r="E298" s="39"/>
      <c r="F298" s="39"/>
      <c r="G298" s="39"/>
      <c r="H298" s="39"/>
      <c r="I298" s="39"/>
    </row>
    <row r="299">
      <c r="A299" s="41"/>
      <c r="B299" s="20"/>
      <c r="C299" s="39"/>
      <c r="D299" s="39"/>
      <c r="E299" s="39"/>
      <c r="F299" s="39"/>
      <c r="G299" s="39"/>
      <c r="H299" s="39"/>
      <c r="I299" s="39"/>
    </row>
    <row r="300">
      <c r="A300" s="41"/>
      <c r="B300" s="20"/>
      <c r="C300" s="39"/>
      <c r="D300" s="39"/>
      <c r="E300" s="39"/>
      <c r="F300" s="39"/>
      <c r="G300" s="39"/>
      <c r="H300" s="39"/>
      <c r="I300" s="39"/>
    </row>
    <row r="301">
      <c r="A301" s="41"/>
      <c r="B301" s="20"/>
      <c r="C301" s="39"/>
      <c r="D301" s="39"/>
      <c r="E301" s="39"/>
      <c r="F301" s="39"/>
      <c r="G301" s="39"/>
      <c r="H301" s="39"/>
      <c r="I301" s="39"/>
    </row>
    <row r="302">
      <c r="A302" s="41"/>
      <c r="B302" s="20"/>
      <c r="C302" s="39"/>
      <c r="D302" s="39"/>
      <c r="E302" s="39"/>
      <c r="F302" s="39"/>
      <c r="G302" s="39"/>
      <c r="H302" s="39"/>
      <c r="I302" s="39"/>
    </row>
    <row r="303">
      <c r="A303" s="41"/>
      <c r="B303" s="20"/>
      <c r="C303" s="39"/>
      <c r="D303" s="39"/>
      <c r="E303" s="39"/>
      <c r="F303" s="39"/>
      <c r="G303" s="39"/>
      <c r="H303" s="39"/>
      <c r="I303" s="39"/>
    </row>
    <row r="304">
      <c r="A304" s="41"/>
      <c r="B304" s="20"/>
      <c r="C304" s="39"/>
      <c r="D304" s="39"/>
      <c r="E304" s="39"/>
      <c r="F304" s="39"/>
      <c r="G304" s="39"/>
      <c r="H304" s="39"/>
      <c r="I304" s="39"/>
    </row>
    <row r="305">
      <c r="A305" s="41"/>
      <c r="B305" s="20"/>
      <c r="C305" s="39"/>
      <c r="D305" s="39"/>
      <c r="E305" s="39"/>
      <c r="F305" s="39"/>
      <c r="G305" s="39"/>
      <c r="H305" s="39"/>
      <c r="I305" s="39"/>
    </row>
    <row r="306">
      <c r="A306" s="41"/>
      <c r="B306" s="20"/>
      <c r="C306" s="39"/>
      <c r="D306" s="39"/>
      <c r="E306" s="39"/>
      <c r="F306" s="39"/>
      <c r="G306" s="39"/>
      <c r="H306" s="39"/>
      <c r="I306" s="39"/>
    </row>
    <row r="307">
      <c r="A307" s="41"/>
      <c r="B307" s="20"/>
      <c r="C307" s="39"/>
      <c r="D307" s="39"/>
      <c r="E307" s="39"/>
      <c r="F307" s="39"/>
      <c r="G307" s="39"/>
      <c r="H307" s="39"/>
      <c r="I307" s="39"/>
    </row>
    <row r="308">
      <c r="A308" s="41"/>
      <c r="B308" s="20"/>
      <c r="C308" s="39"/>
      <c r="D308" s="39"/>
      <c r="E308" s="39"/>
      <c r="F308" s="39"/>
      <c r="G308" s="39"/>
      <c r="H308" s="39"/>
      <c r="I308" s="39"/>
    </row>
    <row r="309">
      <c r="A309" s="41"/>
      <c r="B309" s="20"/>
      <c r="C309" s="39"/>
      <c r="D309" s="39"/>
      <c r="E309" s="39"/>
      <c r="F309" s="39"/>
      <c r="G309" s="39"/>
      <c r="H309" s="39"/>
      <c r="I309" s="39"/>
    </row>
    <row r="310">
      <c r="A310" s="41"/>
      <c r="B310" s="20"/>
      <c r="C310" s="39"/>
      <c r="D310" s="39"/>
      <c r="E310" s="39"/>
      <c r="F310" s="39"/>
      <c r="G310" s="39"/>
      <c r="H310" s="39"/>
      <c r="I310" s="39"/>
    </row>
    <row r="311">
      <c r="A311" s="41"/>
      <c r="B311" s="20"/>
      <c r="C311" s="39"/>
      <c r="D311" s="39"/>
      <c r="E311" s="39"/>
      <c r="F311" s="39"/>
      <c r="G311" s="39"/>
      <c r="H311" s="39"/>
      <c r="I311" s="39"/>
    </row>
    <row r="312">
      <c r="A312" s="41"/>
      <c r="B312" s="20"/>
      <c r="C312" s="39"/>
      <c r="D312" s="39"/>
      <c r="E312" s="39"/>
      <c r="F312" s="39"/>
      <c r="G312" s="39"/>
      <c r="H312" s="39"/>
      <c r="I312" s="39"/>
    </row>
    <row r="313">
      <c r="A313" s="41"/>
      <c r="B313" s="20"/>
      <c r="C313" s="39"/>
      <c r="D313" s="39"/>
      <c r="E313" s="39"/>
      <c r="F313" s="39"/>
      <c r="G313" s="39"/>
      <c r="H313" s="39"/>
      <c r="I313" s="39"/>
    </row>
    <row r="314">
      <c r="A314" s="41"/>
      <c r="B314" s="20"/>
      <c r="C314" s="39"/>
      <c r="D314" s="39"/>
      <c r="E314" s="39"/>
      <c r="F314" s="39"/>
      <c r="G314" s="39"/>
      <c r="H314" s="39"/>
      <c r="I314" s="39"/>
    </row>
    <row r="315">
      <c r="A315" s="41"/>
      <c r="B315" s="20"/>
      <c r="C315" s="39"/>
      <c r="D315" s="39"/>
      <c r="E315" s="39"/>
      <c r="F315" s="39"/>
      <c r="G315" s="39"/>
      <c r="H315" s="39"/>
      <c r="I315" s="39"/>
    </row>
    <row r="316">
      <c r="A316" s="41"/>
      <c r="B316" s="20"/>
      <c r="C316" s="39"/>
      <c r="D316" s="39"/>
      <c r="E316" s="39"/>
      <c r="F316" s="39"/>
      <c r="G316" s="39"/>
      <c r="H316" s="39"/>
      <c r="I316" s="39"/>
    </row>
    <row r="317">
      <c r="A317" s="41"/>
      <c r="B317" s="20"/>
      <c r="C317" s="39"/>
      <c r="D317" s="39"/>
      <c r="E317" s="39"/>
      <c r="F317" s="39"/>
      <c r="G317" s="39"/>
      <c r="H317" s="39"/>
      <c r="I317" s="39"/>
    </row>
    <row r="318">
      <c r="A318" s="41"/>
      <c r="B318" s="20"/>
      <c r="C318" s="39"/>
      <c r="D318" s="39"/>
      <c r="E318" s="39"/>
      <c r="F318" s="39"/>
      <c r="G318" s="39"/>
      <c r="H318" s="39"/>
      <c r="I318" s="39"/>
    </row>
    <row r="319">
      <c r="A319" s="41"/>
      <c r="B319" s="20"/>
      <c r="C319" s="39"/>
      <c r="D319" s="39"/>
      <c r="E319" s="39"/>
      <c r="F319" s="39"/>
      <c r="G319" s="39"/>
      <c r="H319" s="39"/>
      <c r="I319" s="39"/>
    </row>
    <row r="320">
      <c r="A320" s="41"/>
      <c r="B320" s="20"/>
      <c r="C320" s="39"/>
      <c r="D320" s="39"/>
      <c r="E320" s="39"/>
      <c r="F320" s="39"/>
      <c r="G320" s="39"/>
      <c r="H320" s="39"/>
      <c r="I320" s="39"/>
    </row>
    <row r="321">
      <c r="A321" s="41"/>
      <c r="B321" s="20"/>
      <c r="C321" s="39"/>
      <c r="D321" s="39"/>
      <c r="E321" s="39"/>
      <c r="F321" s="39"/>
      <c r="G321" s="39"/>
      <c r="H321" s="39"/>
      <c r="I321" s="39"/>
    </row>
    <row r="322">
      <c r="A322" s="41"/>
      <c r="B322" s="20"/>
      <c r="C322" s="39"/>
      <c r="D322" s="39"/>
      <c r="E322" s="39"/>
      <c r="F322" s="39"/>
      <c r="G322" s="39"/>
      <c r="H322" s="39"/>
      <c r="I322" s="39"/>
    </row>
    <row r="323">
      <c r="A323" s="41"/>
      <c r="B323" s="20"/>
      <c r="C323" s="39"/>
      <c r="D323" s="39"/>
      <c r="E323" s="39"/>
      <c r="F323" s="39"/>
      <c r="G323" s="39"/>
      <c r="H323" s="39"/>
      <c r="I323" s="39"/>
    </row>
    <row r="324">
      <c r="A324" s="41"/>
      <c r="B324" s="20"/>
      <c r="C324" s="39"/>
      <c r="D324" s="39"/>
      <c r="E324" s="39"/>
      <c r="F324" s="39"/>
      <c r="G324" s="39"/>
      <c r="H324" s="39"/>
      <c r="I324" s="39"/>
    </row>
    <row r="325">
      <c r="A325" s="41"/>
      <c r="B325" s="20"/>
      <c r="C325" s="39"/>
      <c r="D325" s="39"/>
      <c r="E325" s="39"/>
      <c r="F325" s="39"/>
      <c r="G325" s="39"/>
      <c r="H325" s="39"/>
      <c r="I325" s="39"/>
    </row>
    <row r="326">
      <c r="A326" s="41"/>
      <c r="B326" s="20"/>
      <c r="C326" s="39"/>
      <c r="D326" s="39"/>
      <c r="E326" s="39"/>
      <c r="F326" s="39"/>
      <c r="G326" s="39"/>
      <c r="H326" s="39"/>
      <c r="I326" s="39"/>
    </row>
    <row r="327">
      <c r="A327" s="41"/>
      <c r="B327" s="20"/>
      <c r="C327" s="39"/>
      <c r="D327" s="39"/>
      <c r="E327" s="39"/>
      <c r="F327" s="39"/>
      <c r="G327" s="39"/>
      <c r="H327" s="39"/>
      <c r="I327" s="39"/>
    </row>
    <row r="328">
      <c r="A328" s="41"/>
      <c r="B328" s="20"/>
      <c r="C328" s="39"/>
      <c r="D328" s="39"/>
      <c r="E328" s="39"/>
      <c r="F328" s="39"/>
      <c r="G328" s="39"/>
      <c r="H328" s="39"/>
      <c r="I328" s="39"/>
    </row>
    <row r="329">
      <c r="A329" s="41"/>
      <c r="B329" s="20"/>
      <c r="C329" s="39"/>
      <c r="D329" s="39"/>
      <c r="E329" s="39"/>
      <c r="F329" s="39"/>
      <c r="G329" s="39"/>
      <c r="H329" s="39"/>
      <c r="I329" s="39"/>
    </row>
    <row r="330">
      <c r="A330" s="41"/>
      <c r="B330" s="20"/>
      <c r="C330" s="39"/>
      <c r="D330" s="39"/>
      <c r="E330" s="39"/>
      <c r="F330" s="39"/>
      <c r="G330" s="39"/>
      <c r="H330" s="39"/>
      <c r="I330" s="39"/>
    </row>
    <row r="331">
      <c r="A331" s="41"/>
      <c r="B331" s="20"/>
      <c r="C331" s="39"/>
      <c r="D331" s="39"/>
      <c r="E331" s="39"/>
      <c r="F331" s="39"/>
      <c r="G331" s="39"/>
      <c r="H331" s="39"/>
      <c r="I331" s="39"/>
    </row>
    <row r="332">
      <c r="A332" s="41"/>
      <c r="B332" s="20"/>
      <c r="C332" s="39"/>
      <c r="D332" s="39"/>
      <c r="E332" s="39"/>
      <c r="F332" s="39"/>
      <c r="G332" s="39"/>
      <c r="H332" s="39"/>
      <c r="I332" s="39"/>
    </row>
    <row r="333">
      <c r="A333" s="41"/>
      <c r="B333" s="20"/>
      <c r="C333" s="39"/>
      <c r="D333" s="39"/>
      <c r="E333" s="39"/>
      <c r="F333" s="39"/>
      <c r="G333" s="39"/>
      <c r="H333" s="39"/>
      <c r="I333" s="39"/>
    </row>
    <row r="334">
      <c r="A334" s="41"/>
      <c r="B334" s="20"/>
      <c r="C334" s="39"/>
      <c r="D334" s="39"/>
      <c r="E334" s="39"/>
      <c r="F334" s="39"/>
      <c r="G334" s="39"/>
      <c r="H334" s="39"/>
      <c r="I334" s="39"/>
    </row>
    <row r="335">
      <c r="A335" s="41"/>
      <c r="B335" s="20"/>
      <c r="C335" s="39"/>
      <c r="D335" s="39"/>
      <c r="E335" s="39"/>
      <c r="F335" s="39"/>
      <c r="G335" s="39"/>
      <c r="H335" s="39"/>
      <c r="I335" s="39"/>
    </row>
    <row r="336">
      <c r="A336" s="41"/>
      <c r="B336" s="20"/>
      <c r="C336" s="39"/>
      <c r="D336" s="39"/>
      <c r="E336" s="39"/>
      <c r="F336" s="39"/>
      <c r="G336" s="39"/>
      <c r="H336" s="39"/>
      <c r="I336" s="39"/>
    </row>
    <row r="337">
      <c r="A337" s="41"/>
      <c r="B337" s="20"/>
      <c r="C337" s="39"/>
      <c r="D337" s="39"/>
      <c r="E337" s="39"/>
      <c r="F337" s="39"/>
      <c r="G337" s="39"/>
      <c r="H337" s="39"/>
      <c r="I337" s="39"/>
    </row>
    <row r="338">
      <c r="A338" s="41"/>
      <c r="B338" s="20"/>
      <c r="C338" s="39"/>
      <c r="D338" s="39"/>
      <c r="E338" s="39"/>
      <c r="F338" s="39"/>
      <c r="G338" s="39"/>
      <c r="H338" s="39"/>
      <c r="I338" s="39"/>
    </row>
    <row r="339">
      <c r="A339" s="41"/>
      <c r="B339" s="20"/>
      <c r="C339" s="39"/>
      <c r="D339" s="39"/>
      <c r="E339" s="39"/>
      <c r="F339" s="39"/>
      <c r="G339" s="39"/>
      <c r="H339" s="39"/>
      <c r="I339" s="39"/>
    </row>
    <row r="340">
      <c r="A340" s="41"/>
      <c r="B340" s="20"/>
      <c r="C340" s="39"/>
      <c r="D340" s="39"/>
      <c r="E340" s="39"/>
      <c r="F340" s="39"/>
      <c r="G340" s="39"/>
      <c r="H340" s="39"/>
      <c r="I340" s="39"/>
    </row>
    <row r="341">
      <c r="A341" s="41"/>
      <c r="B341" s="20"/>
      <c r="C341" s="39"/>
      <c r="D341" s="39"/>
      <c r="E341" s="39"/>
      <c r="F341" s="39"/>
      <c r="G341" s="39"/>
      <c r="H341" s="39"/>
      <c r="I341" s="39"/>
    </row>
    <row r="342">
      <c r="A342" s="41"/>
      <c r="B342" s="20"/>
      <c r="C342" s="39"/>
      <c r="D342" s="39"/>
      <c r="E342" s="39"/>
      <c r="F342" s="39"/>
      <c r="G342" s="39"/>
      <c r="H342" s="39"/>
      <c r="I342" s="39"/>
    </row>
    <row r="343">
      <c r="A343" s="41"/>
      <c r="B343" s="20"/>
      <c r="C343" s="39"/>
      <c r="D343" s="39"/>
      <c r="E343" s="39"/>
      <c r="F343" s="39"/>
      <c r="G343" s="39"/>
      <c r="H343" s="39"/>
      <c r="I343" s="39"/>
    </row>
    <row r="344">
      <c r="A344" s="41"/>
      <c r="B344" s="20"/>
      <c r="C344" s="39"/>
      <c r="D344" s="39"/>
      <c r="E344" s="39"/>
      <c r="F344" s="39"/>
      <c r="G344" s="39"/>
      <c r="H344" s="39"/>
      <c r="I344" s="39"/>
    </row>
    <row r="345">
      <c r="A345" s="41"/>
      <c r="B345" s="20"/>
      <c r="C345" s="39"/>
      <c r="D345" s="39"/>
      <c r="E345" s="39"/>
      <c r="F345" s="39"/>
      <c r="G345" s="39"/>
      <c r="H345" s="39"/>
      <c r="I345" s="39"/>
    </row>
    <row r="346">
      <c r="A346" s="41"/>
      <c r="B346" s="20"/>
      <c r="C346" s="39"/>
      <c r="D346" s="39"/>
      <c r="E346" s="39"/>
      <c r="F346" s="39"/>
      <c r="G346" s="39"/>
      <c r="H346" s="39"/>
      <c r="I346" s="39"/>
    </row>
    <row r="347">
      <c r="A347" s="41"/>
      <c r="B347" s="20"/>
      <c r="C347" s="39"/>
      <c r="D347" s="39"/>
      <c r="E347" s="39"/>
      <c r="F347" s="39"/>
      <c r="G347" s="39"/>
      <c r="H347" s="39"/>
      <c r="I347" s="39"/>
    </row>
    <row r="348">
      <c r="A348" s="41"/>
      <c r="B348" s="20"/>
      <c r="C348" s="39"/>
      <c r="D348" s="39"/>
      <c r="E348" s="39"/>
      <c r="F348" s="39"/>
      <c r="G348" s="39"/>
      <c r="H348" s="39"/>
      <c r="I348" s="39"/>
    </row>
    <row r="349">
      <c r="A349" s="41"/>
      <c r="B349" s="20"/>
      <c r="C349" s="39"/>
      <c r="D349" s="39"/>
      <c r="E349" s="39"/>
      <c r="F349" s="39"/>
      <c r="G349" s="39"/>
      <c r="H349" s="39"/>
      <c r="I349" s="39"/>
    </row>
    <row r="350">
      <c r="A350" s="41"/>
      <c r="B350" s="20"/>
      <c r="C350" s="39"/>
      <c r="D350" s="39"/>
      <c r="E350" s="39"/>
      <c r="F350" s="39"/>
      <c r="G350" s="39"/>
      <c r="H350" s="39"/>
      <c r="I350" s="39"/>
    </row>
    <row r="351">
      <c r="A351" s="41"/>
      <c r="B351" s="20"/>
      <c r="C351" s="39"/>
      <c r="D351" s="39"/>
      <c r="E351" s="39"/>
      <c r="F351" s="39"/>
      <c r="G351" s="39"/>
      <c r="H351" s="39"/>
      <c r="I351" s="39"/>
    </row>
    <row r="352">
      <c r="A352" s="41"/>
      <c r="B352" s="20"/>
      <c r="C352" s="39"/>
      <c r="D352" s="39"/>
      <c r="E352" s="39"/>
      <c r="F352" s="39"/>
      <c r="G352" s="39"/>
      <c r="H352" s="39"/>
      <c r="I352" s="39"/>
    </row>
    <row r="353">
      <c r="A353" s="41"/>
      <c r="B353" s="20"/>
      <c r="C353" s="39"/>
      <c r="D353" s="39"/>
      <c r="E353" s="39"/>
      <c r="F353" s="39"/>
      <c r="G353" s="39"/>
      <c r="H353" s="39"/>
      <c r="I353" s="39"/>
    </row>
    <row r="354">
      <c r="A354" s="41"/>
      <c r="B354" s="20"/>
      <c r="C354" s="39"/>
      <c r="D354" s="39"/>
      <c r="E354" s="39"/>
      <c r="F354" s="39"/>
      <c r="G354" s="39"/>
      <c r="H354" s="39"/>
      <c r="I354" s="39"/>
    </row>
    <row r="355">
      <c r="A355" s="41"/>
      <c r="B355" s="20"/>
      <c r="C355" s="39"/>
      <c r="D355" s="39"/>
      <c r="E355" s="39"/>
      <c r="F355" s="39"/>
      <c r="G355" s="39"/>
      <c r="H355" s="39"/>
      <c r="I355" s="39"/>
    </row>
    <row r="356">
      <c r="A356" s="41"/>
      <c r="B356" s="20"/>
      <c r="C356" s="39"/>
      <c r="D356" s="39"/>
      <c r="E356" s="39"/>
      <c r="F356" s="39"/>
      <c r="G356" s="39"/>
      <c r="H356" s="39"/>
      <c r="I356" s="39"/>
    </row>
    <row r="357">
      <c r="A357" s="41"/>
      <c r="B357" s="20"/>
      <c r="C357" s="39"/>
      <c r="D357" s="39"/>
      <c r="E357" s="39"/>
      <c r="F357" s="39"/>
      <c r="G357" s="39"/>
      <c r="H357" s="39"/>
      <c r="I357" s="39"/>
    </row>
    <row r="358">
      <c r="A358" s="41"/>
      <c r="B358" s="20"/>
      <c r="C358" s="39"/>
      <c r="D358" s="39"/>
      <c r="E358" s="39"/>
      <c r="F358" s="39"/>
      <c r="G358" s="39"/>
      <c r="H358" s="39"/>
      <c r="I358" s="39"/>
    </row>
    <row r="359">
      <c r="A359" s="41"/>
      <c r="B359" s="20"/>
      <c r="C359" s="39"/>
      <c r="D359" s="39"/>
      <c r="E359" s="39"/>
      <c r="F359" s="39"/>
      <c r="G359" s="39"/>
      <c r="H359" s="39"/>
      <c r="I359" s="39"/>
    </row>
    <row r="360">
      <c r="A360" s="41"/>
      <c r="B360" s="20"/>
      <c r="C360" s="39"/>
      <c r="D360" s="39"/>
      <c r="E360" s="39"/>
      <c r="F360" s="39"/>
      <c r="G360" s="39"/>
      <c r="H360" s="39"/>
      <c r="I360" s="39"/>
    </row>
    <row r="361">
      <c r="A361" s="41"/>
      <c r="B361" s="20"/>
      <c r="C361" s="39"/>
      <c r="D361" s="39"/>
      <c r="E361" s="39"/>
      <c r="F361" s="39"/>
      <c r="G361" s="39"/>
      <c r="H361" s="39"/>
      <c r="I361" s="39"/>
    </row>
    <row r="362">
      <c r="A362" s="41"/>
      <c r="B362" s="20"/>
      <c r="C362" s="39"/>
      <c r="D362" s="39"/>
      <c r="E362" s="39"/>
      <c r="F362" s="39"/>
      <c r="G362" s="39"/>
      <c r="H362" s="39"/>
      <c r="I362" s="39"/>
    </row>
    <row r="363">
      <c r="A363" s="41"/>
      <c r="B363" s="20"/>
      <c r="C363" s="39"/>
      <c r="D363" s="39"/>
      <c r="E363" s="39"/>
      <c r="F363" s="39"/>
      <c r="G363" s="39"/>
      <c r="H363" s="39"/>
      <c r="I363" s="39"/>
    </row>
    <row r="364">
      <c r="A364" s="41"/>
      <c r="B364" s="20"/>
      <c r="C364" s="39"/>
      <c r="D364" s="39"/>
      <c r="E364" s="39"/>
      <c r="F364" s="39"/>
      <c r="G364" s="39"/>
      <c r="H364" s="39"/>
      <c r="I364" s="39"/>
    </row>
    <row r="365">
      <c r="A365" s="41"/>
      <c r="B365" s="20"/>
      <c r="C365" s="39"/>
      <c r="D365" s="39"/>
      <c r="E365" s="39"/>
      <c r="F365" s="39"/>
      <c r="G365" s="39"/>
      <c r="H365" s="39"/>
      <c r="I365" s="39"/>
    </row>
    <row r="366">
      <c r="A366" s="41"/>
      <c r="B366" s="20"/>
      <c r="C366" s="39"/>
      <c r="D366" s="39"/>
      <c r="E366" s="39"/>
      <c r="F366" s="39"/>
      <c r="G366" s="39"/>
      <c r="H366" s="39"/>
      <c r="I366" s="39"/>
    </row>
    <row r="367">
      <c r="A367" s="41"/>
      <c r="B367" s="20"/>
      <c r="C367" s="39"/>
      <c r="D367" s="39"/>
      <c r="E367" s="39"/>
      <c r="F367" s="39"/>
      <c r="G367" s="39"/>
      <c r="H367" s="39"/>
      <c r="I367" s="39"/>
    </row>
    <row r="368">
      <c r="A368" s="41"/>
      <c r="B368" s="20"/>
      <c r="C368" s="39"/>
      <c r="D368" s="39"/>
      <c r="E368" s="39"/>
      <c r="F368" s="39"/>
      <c r="G368" s="39"/>
      <c r="H368" s="39"/>
      <c r="I368" s="39"/>
    </row>
    <row r="369">
      <c r="A369" s="41"/>
      <c r="B369" s="20"/>
      <c r="C369" s="39"/>
      <c r="D369" s="39"/>
      <c r="E369" s="39"/>
      <c r="F369" s="39"/>
      <c r="G369" s="39"/>
      <c r="H369" s="39"/>
      <c r="I369" s="39"/>
    </row>
    <row r="370">
      <c r="A370" s="41"/>
      <c r="B370" s="20"/>
      <c r="C370" s="39"/>
      <c r="D370" s="39"/>
      <c r="E370" s="39"/>
      <c r="F370" s="39"/>
      <c r="G370" s="39"/>
      <c r="H370" s="39"/>
      <c r="I370" s="39"/>
    </row>
    <row r="371">
      <c r="A371" s="41"/>
      <c r="B371" s="20"/>
      <c r="C371" s="39"/>
      <c r="D371" s="39"/>
      <c r="E371" s="39"/>
      <c r="F371" s="39"/>
      <c r="G371" s="39"/>
      <c r="H371" s="39"/>
      <c r="I371" s="39"/>
    </row>
    <row r="372">
      <c r="A372" s="41"/>
      <c r="B372" s="20"/>
      <c r="C372" s="39"/>
      <c r="D372" s="39"/>
      <c r="E372" s="39"/>
      <c r="F372" s="39"/>
      <c r="G372" s="39"/>
      <c r="H372" s="39"/>
      <c r="I372" s="39"/>
    </row>
    <row r="373">
      <c r="A373" s="41"/>
      <c r="B373" s="20"/>
      <c r="C373" s="39"/>
      <c r="D373" s="39"/>
      <c r="E373" s="39"/>
      <c r="F373" s="39"/>
      <c r="G373" s="39"/>
      <c r="H373" s="39"/>
      <c r="I373" s="39"/>
    </row>
    <row r="374">
      <c r="A374" s="41"/>
      <c r="B374" s="20"/>
      <c r="C374" s="39"/>
      <c r="D374" s="39"/>
      <c r="E374" s="39"/>
      <c r="F374" s="39"/>
      <c r="G374" s="39"/>
      <c r="H374" s="39"/>
      <c r="I374" s="39"/>
    </row>
    <row r="375">
      <c r="A375" s="41"/>
      <c r="B375" s="20"/>
      <c r="C375" s="39"/>
      <c r="D375" s="39"/>
      <c r="E375" s="39"/>
      <c r="F375" s="39"/>
      <c r="G375" s="39"/>
      <c r="H375" s="39"/>
      <c r="I375" s="39"/>
    </row>
    <row r="376">
      <c r="A376" s="41"/>
      <c r="B376" s="20"/>
      <c r="C376" s="39"/>
      <c r="D376" s="39"/>
      <c r="E376" s="39"/>
      <c r="F376" s="39"/>
      <c r="G376" s="39"/>
      <c r="H376" s="39"/>
      <c r="I376" s="39"/>
    </row>
    <row r="377">
      <c r="A377" s="41"/>
      <c r="B377" s="20"/>
      <c r="C377" s="39"/>
      <c r="D377" s="39"/>
      <c r="E377" s="39"/>
      <c r="F377" s="39"/>
      <c r="G377" s="39"/>
      <c r="H377" s="39"/>
      <c r="I377" s="39"/>
    </row>
    <row r="378">
      <c r="A378" s="41"/>
      <c r="B378" s="20"/>
      <c r="C378" s="39"/>
      <c r="D378" s="39"/>
      <c r="E378" s="39"/>
      <c r="F378" s="39"/>
      <c r="G378" s="39"/>
      <c r="H378" s="39"/>
      <c r="I378" s="39"/>
    </row>
    <row r="379">
      <c r="A379" s="41"/>
      <c r="B379" s="20"/>
      <c r="C379" s="39"/>
      <c r="D379" s="39"/>
      <c r="E379" s="39"/>
      <c r="F379" s="39"/>
      <c r="G379" s="39"/>
      <c r="H379" s="39"/>
      <c r="I379" s="39"/>
    </row>
    <row r="380">
      <c r="A380" s="41"/>
      <c r="B380" s="20"/>
      <c r="C380" s="39"/>
      <c r="D380" s="39"/>
      <c r="E380" s="39"/>
      <c r="F380" s="39"/>
      <c r="G380" s="39"/>
      <c r="H380" s="39"/>
      <c r="I380" s="39"/>
    </row>
    <row r="381">
      <c r="A381" s="41"/>
      <c r="B381" s="20"/>
      <c r="C381" s="39"/>
      <c r="D381" s="39"/>
      <c r="E381" s="39"/>
      <c r="F381" s="39"/>
      <c r="G381" s="39"/>
      <c r="H381" s="39"/>
      <c r="I381" s="39"/>
    </row>
    <row r="382">
      <c r="A382" s="41"/>
      <c r="B382" s="20"/>
      <c r="C382" s="39"/>
      <c r="D382" s="39"/>
      <c r="E382" s="39"/>
      <c r="F382" s="39"/>
      <c r="G382" s="39"/>
      <c r="H382" s="39"/>
      <c r="I382" s="39"/>
    </row>
    <row r="383">
      <c r="A383" s="41"/>
      <c r="B383" s="20"/>
      <c r="C383" s="39"/>
      <c r="D383" s="39"/>
      <c r="E383" s="39"/>
      <c r="F383" s="39"/>
      <c r="G383" s="39"/>
      <c r="H383" s="39"/>
      <c r="I383" s="39"/>
    </row>
    <row r="384">
      <c r="A384" s="41"/>
      <c r="B384" s="20"/>
      <c r="C384" s="39"/>
      <c r="D384" s="39"/>
      <c r="E384" s="39"/>
      <c r="F384" s="39"/>
      <c r="G384" s="39"/>
      <c r="H384" s="39"/>
      <c r="I384" s="39"/>
    </row>
    <row r="385">
      <c r="A385" s="41"/>
      <c r="B385" s="20"/>
      <c r="C385" s="39"/>
      <c r="D385" s="39"/>
      <c r="E385" s="39"/>
      <c r="F385" s="39"/>
      <c r="G385" s="39"/>
      <c r="H385" s="39"/>
      <c r="I385" s="39"/>
    </row>
    <row r="386">
      <c r="A386" s="41"/>
      <c r="B386" s="20"/>
      <c r="C386" s="39"/>
      <c r="D386" s="39"/>
      <c r="E386" s="39"/>
      <c r="F386" s="39"/>
      <c r="G386" s="39"/>
      <c r="H386" s="39"/>
      <c r="I386" s="39"/>
    </row>
    <row r="387">
      <c r="A387" s="41"/>
      <c r="B387" s="20"/>
      <c r="C387" s="39"/>
      <c r="D387" s="39"/>
      <c r="E387" s="39"/>
      <c r="F387" s="39"/>
      <c r="G387" s="39"/>
      <c r="H387" s="39"/>
      <c r="I387" s="39"/>
    </row>
    <row r="388">
      <c r="A388" s="41"/>
      <c r="B388" s="20"/>
      <c r="C388" s="39"/>
      <c r="D388" s="39"/>
      <c r="E388" s="39"/>
      <c r="F388" s="39"/>
      <c r="G388" s="39"/>
      <c r="H388" s="39"/>
      <c r="I388" s="39"/>
    </row>
    <row r="389">
      <c r="A389" s="41"/>
      <c r="B389" s="20"/>
      <c r="C389" s="39"/>
      <c r="D389" s="39"/>
      <c r="E389" s="39"/>
      <c r="F389" s="39"/>
      <c r="G389" s="39"/>
      <c r="H389" s="39"/>
      <c r="I389" s="39"/>
    </row>
    <row r="390">
      <c r="A390" s="41"/>
      <c r="B390" s="20"/>
      <c r="C390" s="39"/>
      <c r="D390" s="39"/>
      <c r="E390" s="39"/>
      <c r="F390" s="39"/>
      <c r="G390" s="39"/>
      <c r="H390" s="39"/>
      <c r="I390" s="39"/>
    </row>
    <row r="391">
      <c r="A391" s="41"/>
      <c r="B391" s="20"/>
      <c r="C391" s="39"/>
      <c r="D391" s="39"/>
      <c r="E391" s="39"/>
      <c r="F391" s="39"/>
      <c r="G391" s="39"/>
      <c r="H391" s="39"/>
      <c r="I391" s="39"/>
    </row>
    <row r="392">
      <c r="A392" s="41"/>
      <c r="B392" s="20"/>
      <c r="C392" s="39"/>
      <c r="D392" s="39"/>
      <c r="E392" s="39"/>
      <c r="F392" s="39"/>
      <c r="G392" s="39"/>
      <c r="H392" s="39"/>
      <c r="I392" s="39"/>
    </row>
    <row r="393">
      <c r="A393" s="41"/>
      <c r="B393" s="20"/>
      <c r="C393" s="39"/>
      <c r="D393" s="39"/>
      <c r="E393" s="39"/>
      <c r="F393" s="39"/>
      <c r="G393" s="39"/>
      <c r="H393" s="39"/>
      <c r="I393" s="39"/>
    </row>
    <row r="394">
      <c r="A394" s="41"/>
      <c r="B394" s="20"/>
      <c r="C394" s="39"/>
      <c r="D394" s="39"/>
      <c r="E394" s="39"/>
      <c r="F394" s="39"/>
      <c r="G394" s="39"/>
      <c r="H394" s="39"/>
      <c r="I394" s="39"/>
    </row>
    <row r="395">
      <c r="A395" s="41"/>
      <c r="B395" s="20"/>
      <c r="C395" s="39"/>
      <c r="D395" s="39"/>
      <c r="E395" s="39"/>
      <c r="F395" s="39"/>
      <c r="G395" s="39"/>
      <c r="H395" s="39"/>
      <c r="I395" s="39"/>
    </row>
    <row r="396">
      <c r="A396" s="41"/>
      <c r="B396" s="20"/>
      <c r="C396" s="39"/>
      <c r="D396" s="39"/>
      <c r="E396" s="39"/>
      <c r="F396" s="39"/>
      <c r="G396" s="39"/>
      <c r="H396" s="39"/>
      <c r="I396" s="39"/>
    </row>
    <row r="397">
      <c r="A397" s="41"/>
      <c r="B397" s="20"/>
      <c r="C397" s="39"/>
      <c r="D397" s="39"/>
      <c r="E397" s="39"/>
      <c r="F397" s="39"/>
      <c r="G397" s="39"/>
      <c r="H397" s="39"/>
      <c r="I397" s="39"/>
    </row>
    <row r="398">
      <c r="A398" s="41"/>
      <c r="B398" s="20"/>
      <c r="C398" s="39"/>
      <c r="D398" s="39"/>
      <c r="E398" s="39"/>
      <c r="F398" s="39"/>
      <c r="G398" s="39"/>
      <c r="H398" s="39"/>
      <c r="I398" s="39"/>
    </row>
    <row r="399">
      <c r="A399" s="41"/>
      <c r="B399" s="20"/>
      <c r="C399" s="39"/>
      <c r="D399" s="39"/>
      <c r="E399" s="39"/>
      <c r="F399" s="39"/>
      <c r="G399" s="39"/>
      <c r="H399" s="39"/>
      <c r="I399" s="39"/>
    </row>
    <row r="400">
      <c r="A400" s="41"/>
      <c r="B400" s="20"/>
      <c r="C400" s="39"/>
      <c r="D400" s="39"/>
      <c r="E400" s="39"/>
      <c r="F400" s="39"/>
      <c r="G400" s="39"/>
      <c r="H400" s="39"/>
      <c r="I400" s="39"/>
    </row>
    <row r="401">
      <c r="A401" s="41"/>
      <c r="B401" s="20"/>
      <c r="C401" s="39"/>
      <c r="D401" s="39"/>
      <c r="E401" s="39"/>
      <c r="F401" s="39"/>
      <c r="G401" s="39"/>
      <c r="H401" s="39"/>
      <c r="I401" s="39"/>
    </row>
    <row r="402">
      <c r="A402" s="41"/>
      <c r="B402" s="20"/>
      <c r="C402" s="39"/>
      <c r="D402" s="39"/>
      <c r="E402" s="39"/>
      <c r="F402" s="39"/>
      <c r="G402" s="39"/>
      <c r="H402" s="39"/>
      <c r="I402" s="39"/>
    </row>
    <row r="403">
      <c r="A403" s="41"/>
      <c r="B403" s="20"/>
      <c r="C403" s="39"/>
      <c r="D403" s="39"/>
      <c r="E403" s="39"/>
      <c r="F403" s="39"/>
      <c r="G403" s="39"/>
      <c r="H403" s="39"/>
      <c r="I403" s="39"/>
    </row>
    <row r="404">
      <c r="A404" s="41"/>
      <c r="B404" s="20"/>
      <c r="C404" s="39"/>
      <c r="D404" s="39"/>
      <c r="E404" s="39"/>
      <c r="F404" s="39"/>
      <c r="G404" s="39"/>
      <c r="H404" s="39"/>
      <c r="I404" s="39"/>
    </row>
    <row r="405">
      <c r="A405" s="41"/>
      <c r="B405" s="20"/>
      <c r="C405" s="39"/>
      <c r="D405" s="39"/>
      <c r="E405" s="39"/>
      <c r="F405" s="39"/>
      <c r="G405" s="39"/>
      <c r="H405" s="39"/>
      <c r="I405" s="39"/>
    </row>
    <row r="406">
      <c r="A406" s="41"/>
      <c r="B406" s="20"/>
      <c r="C406" s="39"/>
      <c r="D406" s="39"/>
      <c r="E406" s="39"/>
      <c r="F406" s="39"/>
      <c r="G406" s="39"/>
      <c r="H406" s="39"/>
      <c r="I406" s="39"/>
    </row>
    <row r="407">
      <c r="A407" s="41"/>
      <c r="B407" s="20"/>
      <c r="C407" s="39"/>
      <c r="D407" s="39"/>
      <c r="E407" s="39"/>
      <c r="F407" s="39"/>
      <c r="G407" s="39"/>
      <c r="H407" s="39"/>
      <c r="I407" s="39"/>
    </row>
    <row r="408">
      <c r="A408" s="41"/>
      <c r="B408" s="20"/>
      <c r="C408" s="39"/>
      <c r="D408" s="39"/>
      <c r="E408" s="39"/>
      <c r="F408" s="39"/>
      <c r="G408" s="39"/>
      <c r="H408" s="39"/>
      <c r="I408" s="39"/>
    </row>
    <row r="409">
      <c r="A409" s="41"/>
      <c r="B409" s="20"/>
      <c r="C409" s="39"/>
      <c r="D409" s="39"/>
      <c r="E409" s="39"/>
      <c r="F409" s="39"/>
      <c r="G409" s="39"/>
      <c r="H409" s="39"/>
      <c r="I409" s="39"/>
    </row>
    <row r="410">
      <c r="A410" s="41"/>
      <c r="B410" s="20"/>
      <c r="C410" s="39"/>
      <c r="D410" s="39"/>
      <c r="E410" s="39"/>
      <c r="F410" s="39"/>
      <c r="G410" s="39"/>
      <c r="H410" s="39"/>
      <c r="I410" s="39"/>
    </row>
    <row r="411">
      <c r="A411" s="41"/>
      <c r="B411" s="20"/>
      <c r="C411" s="39"/>
      <c r="D411" s="39"/>
      <c r="E411" s="39"/>
      <c r="F411" s="39"/>
      <c r="G411" s="39"/>
      <c r="H411" s="39"/>
      <c r="I411" s="39"/>
    </row>
    <row r="412">
      <c r="A412" s="41"/>
      <c r="B412" s="20"/>
      <c r="C412" s="39"/>
      <c r="D412" s="39"/>
      <c r="E412" s="39"/>
      <c r="F412" s="39"/>
      <c r="G412" s="39"/>
      <c r="H412" s="39"/>
      <c r="I412" s="39"/>
    </row>
    <row r="413">
      <c r="A413" s="41"/>
      <c r="B413" s="20"/>
      <c r="C413" s="39"/>
      <c r="D413" s="39"/>
      <c r="E413" s="39"/>
      <c r="F413" s="39"/>
      <c r="G413" s="39"/>
      <c r="H413" s="39"/>
      <c r="I413" s="39"/>
    </row>
    <row r="414">
      <c r="A414" s="41"/>
      <c r="B414" s="20"/>
      <c r="C414" s="39"/>
      <c r="D414" s="39"/>
      <c r="E414" s="39"/>
      <c r="F414" s="39"/>
      <c r="G414" s="39"/>
      <c r="H414" s="39"/>
      <c r="I414" s="39"/>
    </row>
    <row r="415">
      <c r="A415" s="41"/>
      <c r="B415" s="20"/>
      <c r="C415" s="39"/>
      <c r="D415" s="39"/>
      <c r="E415" s="39"/>
      <c r="F415" s="39"/>
      <c r="G415" s="39"/>
      <c r="H415" s="39"/>
      <c r="I415" s="39"/>
    </row>
    <row r="416">
      <c r="A416" s="41"/>
      <c r="B416" s="20"/>
      <c r="C416" s="39"/>
      <c r="D416" s="39"/>
      <c r="E416" s="39"/>
      <c r="F416" s="39"/>
      <c r="G416" s="39"/>
      <c r="H416" s="39"/>
      <c r="I416" s="39"/>
    </row>
    <row r="417">
      <c r="A417" s="41"/>
      <c r="B417" s="20"/>
      <c r="C417" s="39"/>
      <c r="D417" s="39"/>
      <c r="E417" s="39"/>
      <c r="F417" s="39"/>
      <c r="G417" s="39"/>
      <c r="H417" s="39"/>
      <c r="I417" s="39"/>
    </row>
    <row r="418">
      <c r="A418" s="41"/>
      <c r="B418" s="20"/>
      <c r="C418" s="39"/>
      <c r="D418" s="39"/>
      <c r="E418" s="39"/>
      <c r="F418" s="39"/>
      <c r="G418" s="39"/>
      <c r="H418" s="39"/>
      <c r="I418" s="39"/>
    </row>
    <row r="419">
      <c r="A419" s="41"/>
      <c r="B419" s="20"/>
      <c r="C419" s="39"/>
      <c r="D419" s="39"/>
      <c r="E419" s="39"/>
      <c r="F419" s="39"/>
      <c r="G419" s="39"/>
      <c r="H419" s="39"/>
      <c r="I419" s="39"/>
    </row>
    <row r="420">
      <c r="A420" s="41"/>
      <c r="B420" s="20"/>
      <c r="C420" s="39"/>
      <c r="D420" s="39"/>
      <c r="E420" s="39"/>
      <c r="F420" s="39"/>
      <c r="G420" s="39"/>
      <c r="H420" s="39"/>
      <c r="I420" s="39"/>
    </row>
    <row r="421">
      <c r="A421" s="41"/>
      <c r="B421" s="20"/>
      <c r="C421" s="39"/>
      <c r="D421" s="39"/>
      <c r="E421" s="39"/>
      <c r="F421" s="39"/>
      <c r="G421" s="39"/>
      <c r="H421" s="39"/>
      <c r="I421" s="39"/>
    </row>
    <row r="422">
      <c r="A422" s="41"/>
      <c r="B422" s="20"/>
      <c r="C422" s="39"/>
      <c r="D422" s="39"/>
      <c r="E422" s="39"/>
      <c r="F422" s="39"/>
      <c r="G422" s="39"/>
      <c r="H422" s="39"/>
      <c r="I422" s="39"/>
    </row>
    <row r="423">
      <c r="A423" s="41"/>
      <c r="B423" s="20"/>
      <c r="C423" s="39"/>
      <c r="D423" s="39"/>
      <c r="E423" s="39"/>
      <c r="F423" s="39"/>
      <c r="G423" s="39"/>
      <c r="H423" s="39"/>
      <c r="I423" s="39"/>
    </row>
    <row r="424">
      <c r="A424" s="41"/>
      <c r="B424" s="20"/>
      <c r="C424" s="39"/>
      <c r="D424" s="39"/>
      <c r="E424" s="39"/>
      <c r="F424" s="39"/>
      <c r="G424" s="39"/>
      <c r="H424" s="39"/>
      <c r="I424" s="39"/>
    </row>
    <row r="425">
      <c r="A425" s="41"/>
      <c r="B425" s="20"/>
      <c r="C425" s="39"/>
      <c r="D425" s="39"/>
      <c r="E425" s="39"/>
      <c r="F425" s="39"/>
      <c r="G425" s="39"/>
      <c r="H425" s="39"/>
      <c r="I425" s="39"/>
    </row>
    <row r="426">
      <c r="A426" s="41"/>
      <c r="B426" s="20"/>
      <c r="C426" s="39"/>
      <c r="D426" s="39"/>
      <c r="E426" s="39"/>
      <c r="F426" s="39"/>
      <c r="G426" s="39"/>
      <c r="H426" s="39"/>
      <c r="I426" s="39"/>
    </row>
    <row r="427">
      <c r="A427" s="41"/>
      <c r="B427" s="20"/>
      <c r="C427" s="39"/>
      <c r="D427" s="39"/>
      <c r="E427" s="39"/>
      <c r="F427" s="39"/>
      <c r="G427" s="39"/>
      <c r="H427" s="39"/>
      <c r="I427" s="39"/>
    </row>
    <row r="428">
      <c r="A428" s="41"/>
      <c r="B428" s="20"/>
      <c r="C428" s="39"/>
      <c r="D428" s="39"/>
      <c r="E428" s="39"/>
      <c r="F428" s="39"/>
      <c r="G428" s="39"/>
      <c r="H428" s="39"/>
      <c r="I428" s="39"/>
    </row>
    <row r="429">
      <c r="A429" s="41"/>
      <c r="B429" s="20"/>
      <c r="C429" s="39"/>
      <c r="D429" s="39"/>
      <c r="E429" s="39"/>
      <c r="F429" s="39"/>
      <c r="G429" s="39"/>
      <c r="H429" s="39"/>
      <c r="I429" s="39"/>
    </row>
    <row r="430">
      <c r="A430" s="41"/>
      <c r="B430" s="20"/>
      <c r="C430" s="39"/>
      <c r="D430" s="39"/>
      <c r="E430" s="39"/>
      <c r="F430" s="39"/>
      <c r="G430" s="39"/>
      <c r="H430" s="39"/>
      <c r="I430" s="39"/>
    </row>
    <row r="431">
      <c r="A431" s="41"/>
      <c r="B431" s="20"/>
      <c r="C431" s="39"/>
      <c r="D431" s="39"/>
      <c r="E431" s="39"/>
      <c r="F431" s="39"/>
      <c r="G431" s="39"/>
      <c r="H431" s="39"/>
      <c r="I431" s="39"/>
    </row>
    <row r="432">
      <c r="A432" s="41"/>
      <c r="B432" s="20"/>
      <c r="C432" s="39"/>
      <c r="D432" s="39"/>
      <c r="E432" s="39"/>
      <c r="F432" s="39"/>
      <c r="G432" s="39"/>
      <c r="H432" s="39"/>
      <c r="I432" s="39"/>
    </row>
    <row r="433">
      <c r="A433" s="41"/>
      <c r="B433" s="20"/>
      <c r="C433" s="39"/>
      <c r="D433" s="39"/>
      <c r="E433" s="39"/>
      <c r="F433" s="39"/>
      <c r="G433" s="39"/>
      <c r="H433" s="39"/>
      <c r="I433" s="39"/>
    </row>
    <row r="434">
      <c r="A434" s="41"/>
      <c r="B434" s="20"/>
      <c r="C434" s="39"/>
      <c r="D434" s="39"/>
      <c r="E434" s="39"/>
      <c r="F434" s="39"/>
      <c r="G434" s="39"/>
      <c r="H434" s="39"/>
      <c r="I434" s="39"/>
    </row>
    <row r="435">
      <c r="A435" s="41"/>
      <c r="B435" s="20"/>
      <c r="C435" s="39"/>
      <c r="D435" s="39"/>
      <c r="E435" s="39"/>
      <c r="F435" s="39"/>
      <c r="G435" s="39"/>
      <c r="H435" s="39"/>
      <c r="I435" s="39"/>
    </row>
    <row r="436">
      <c r="A436" s="41"/>
      <c r="B436" s="20"/>
      <c r="C436" s="39"/>
      <c r="D436" s="39"/>
      <c r="E436" s="39"/>
      <c r="F436" s="39"/>
      <c r="G436" s="39"/>
      <c r="H436" s="39"/>
      <c r="I436" s="39"/>
    </row>
    <row r="437">
      <c r="A437" s="41"/>
      <c r="B437" s="20"/>
      <c r="C437" s="39"/>
      <c r="D437" s="39"/>
      <c r="E437" s="39"/>
      <c r="F437" s="39"/>
      <c r="G437" s="39"/>
      <c r="H437" s="39"/>
      <c r="I437" s="39"/>
    </row>
    <row r="438">
      <c r="A438" s="41"/>
      <c r="B438" s="20"/>
      <c r="C438" s="39"/>
      <c r="D438" s="39"/>
      <c r="E438" s="39"/>
      <c r="F438" s="39"/>
      <c r="G438" s="39"/>
      <c r="H438" s="39"/>
      <c r="I438" s="39"/>
    </row>
    <row r="439">
      <c r="A439" s="41"/>
      <c r="B439" s="20"/>
      <c r="C439" s="39"/>
      <c r="D439" s="39"/>
      <c r="E439" s="39"/>
      <c r="F439" s="39"/>
      <c r="G439" s="39"/>
      <c r="H439" s="39"/>
      <c r="I439" s="39"/>
    </row>
    <row r="440">
      <c r="A440" s="41"/>
      <c r="B440" s="20"/>
      <c r="C440" s="39"/>
      <c r="D440" s="39"/>
      <c r="E440" s="39"/>
      <c r="F440" s="39"/>
      <c r="G440" s="39"/>
      <c r="H440" s="39"/>
      <c r="I440" s="39"/>
    </row>
    <row r="441">
      <c r="A441" s="41"/>
      <c r="B441" s="20"/>
      <c r="C441" s="39"/>
      <c r="D441" s="39"/>
      <c r="E441" s="39"/>
      <c r="F441" s="39"/>
      <c r="G441" s="39"/>
      <c r="H441" s="39"/>
      <c r="I441" s="39"/>
    </row>
    <row r="442">
      <c r="A442" s="41"/>
      <c r="B442" s="20"/>
      <c r="C442" s="39"/>
      <c r="D442" s="39"/>
      <c r="E442" s="39"/>
      <c r="F442" s="39"/>
      <c r="G442" s="39"/>
      <c r="H442" s="39"/>
      <c r="I442" s="39"/>
    </row>
    <row r="443">
      <c r="A443" s="41"/>
      <c r="B443" s="20"/>
      <c r="C443" s="39"/>
      <c r="D443" s="39"/>
      <c r="E443" s="39"/>
      <c r="F443" s="39"/>
      <c r="G443" s="39"/>
      <c r="H443" s="39"/>
      <c r="I443" s="39"/>
    </row>
    <row r="444">
      <c r="A444" s="41"/>
      <c r="B444" s="20"/>
      <c r="C444" s="39"/>
      <c r="D444" s="39"/>
      <c r="E444" s="39"/>
      <c r="F444" s="39"/>
      <c r="G444" s="39"/>
      <c r="H444" s="39"/>
      <c r="I444" s="39"/>
    </row>
    <row r="445">
      <c r="A445" s="41"/>
      <c r="B445" s="20"/>
      <c r="C445" s="39"/>
      <c r="D445" s="39"/>
      <c r="E445" s="39"/>
      <c r="F445" s="39"/>
      <c r="G445" s="39"/>
      <c r="H445" s="39"/>
      <c r="I445" s="39"/>
    </row>
    <row r="446">
      <c r="A446" s="41"/>
      <c r="B446" s="20"/>
      <c r="C446" s="39"/>
      <c r="D446" s="39"/>
      <c r="E446" s="39"/>
      <c r="F446" s="39"/>
      <c r="G446" s="39"/>
      <c r="H446" s="39"/>
      <c r="I446" s="39"/>
    </row>
    <row r="447">
      <c r="A447" s="41"/>
      <c r="B447" s="20"/>
      <c r="C447" s="39"/>
      <c r="D447" s="39"/>
      <c r="E447" s="39"/>
      <c r="F447" s="39"/>
      <c r="G447" s="39"/>
      <c r="H447" s="39"/>
      <c r="I447" s="39"/>
    </row>
    <row r="448">
      <c r="A448" s="41"/>
      <c r="B448" s="20"/>
      <c r="C448" s="39"/>
      <c r="D448" s="39"/>
      <c r="E448" s="39"/>
      <c r="F448" s="39"/>
      <c r="G448" s="39"/>
      <c r="H448" s="39"/>
      <c r="I448" s="39"/>
    </row>
    <row r="449">
      <c r="A449" s="41"/>
      <c r="B449" s="20"/>
      <c r="C449" s="39"/>
      <c r="D449" s="39"/>
      <c r="E449" s="39"/>
      <c r="F449" s="39"/>
      <c r="G449" s="39"/>
      <c r="H449" s="39"/>
      <c r="I449" s="39"/>
    </row>
    <row r="450">
      <c r="A450" s="41"/>
      <c r="B450" s="20"/>
      <c r="C450" s="39"/>
      <c r="D450" s="39"/>
      <c r="E450" s="39"/>
      <c r="F450" s="39"/>
      <c r="G450" s="39"/>
      <c r="H450" s="39"/>
      <c r="I450" s="39"/>
    </row>
    <row r="451">
      <c r="A451" s="41"/>
      <c r="B451" s="20"/>
      <c r="C451" s="39"/>
      <c r="D451" s="39"/>
      <c r="E451" s="39"/>
      <c r="F451" s="39"/>
      <c r="G451" s="39"/>
      <c r="H451" s="39"/>
      <c r="I451" s="39"/>
    </row>
    <row r="452">
      <c r="A452" s="41"/>
      <c r="B452" s="20"/>
      <c r="C452" s="39"/>
      <c r="D452" s="39"/>
      <c r="E452" s="39"/>
      <c r="F452" s="39"/>
      <c r="G452" s="39"/>
      <c r="H452" s="39"/>
      <c r="I452" s="39"/>
    </row>
    <row r="453">
      <c r="A453" s="41"/>
      <c r="B453" s="20"/>
      <c r="C453" s="39"/>
      <c r="D453" s="39"/>
      <c r="E453" s="39"/>
      <c r="F453" s="39"/>
      <c r="G453" s="39"/>
      <c r="H453" s="39"/>
      <c r="I453" s="39"/>
    </row>
    <row r="454">
      <c r="A454" s="41"/>
      <c r="B454" s="20"/>
      <c r="C454" s="39"/>
      <c r="D454" s="39"/>
      <c r="E454" s="39"/>
      <c r="F454" s="39"/>
      <c r="G454" s="39"/>
      <c r="H454" s="39"/>
      <c r="I454" s="39"/>
    </row>
    <row r="455">
      <c r="A455" s="41"/>
      <c r="B455" s="20"/>
      <c r="C455" s="39"/>
      <c r="D455" s="39"/>
      <c r="E455" s="39"/>
      <c r="F455" s="39"/>
      <c r="G455" s="39"/>
      <c r="H455" s="39"/>
      <c r="I455" s="39"/>
    </row>
    <row r="456">
      <c r="A456" s="41"/>
      <c r="B456" s="20"/>
      <c r="C456" s="39"/>
      <c r="D456" s="39"/>
      <c r="E456" s="39"/>
      <c r="F456" s="39"/>
      <c r="G456" s="39"/>
      <c r="H456" s="39"/>
      <c r="I456" s="39"/>
    </row>
    <row r="457">
      <c r="A457" s="41"/>
      <c r="B457" s="20"/>
      <c r="C457" s="39"/>
      <c r="D457" s="39"/>
      <c r="E457" s="39"/>
      <c r="F457" s="39"/>
      <c r="G457" s="39"/>
      <c r="H457" s="39"/>
      <c r="I457" s="39"/>
    </row>
    <row r="458">
      <c r="A458" s="41"/>
      <c r="B458" s="20"/>
      <c r="C458" s="39"/>
      <c r="D458" s="39"/>
      <c r="E458" s="39"/>
      <c r="F458" s="39"/>
      <c r="G458" s="39"/>
      <c r="H458" s="39"/>
      <c r="I458" s="39"/>
    </row>
    <row r="459">
      <c r="A459" s="41"/>
      <c r="B459" s="20"/>
      <c r="C459" s="39"/>
      <c r="D459" s="39"/>
      <c r="E459" s="39"/>
      <c r="F459" s="39"/>
      <c r="G459" s="39"/>
      <c r="H459" s="39"/>
      <c r="I459" s="39"/>
    </row>
    <row r="460">
      <c r="A460" s="41"/>
      <c r="B460" s="20"/>
      <c r="C460" s="39"/>
      <c r="D460" s="39"/>
      <c r="E460" s="39"/>
      <c r="F460" s="39"/>
      <c r="G460" s="39"/>
      <c r="H460" s="39"/>
      <c r="I460" s="39"/>
    </row>
    <row r="461">
      <c r="A461" s="41"/>
      <c r="B461" s="20"/>
      <c r="C461" s="39"/>
      <c r="D461" s="39"/>
      <c r="E461" s="39"/>
      <c r="F461" s="39"/>
      <c r="G461" s="39"/>
      <c r="H461" s="39"/>
      <c r="I461" s="39"/>
    </row>
    <row r="462">
      <c r="A462" s="41"/>
      <c r="B462" s="20"/>
      <c r="C462" s="39"/>
      <c r="D462" s="39"/>
      <c r="E462" s="39"/>
      <c r="F462" s="39"/>
      <c r="G462" s="39"/>
      <c r="H462" s="39"/>
      <c r="I462" s="39"/>
    </row>
    <row r="463">
      <c r="A463" s="41"/>
      <c r="B463" s="20"/>
      <c r="C463" s="39"/>
      <c r="D463" s="39"/>
      <c r="E463" s="39"/>
      <c r="F463" s="39"/>
      <c r="G463" s="39"/>
      <c r="H463" s="39"/>
      <c r="I463" s="39"/>
    </row>
    <row r="464">
      <c r="A464" s="41"/>
      <c r="B464" s="20"/>
      <c r="C464" s="39"/>
      <c r="D464" s="39"/>
      <c r="E464" s="39"/>
      <c r="F464" s="39"/>
      <c r="G464" s="39"/>
      <c r="H464" s="39"/>
      <c r="I464" s="39"/>
    </row>
    <row r="465">
      <c r="A465" s="41"/>
      <c r="B465" s="20"/>
      <c r="C465" s="39"/>
      <c r="D465" s="39"/>
      <c r="E465" s="39"/>
      <c r="F465" s="39"/>
      <c r="G465" s="39"/>
      <c r="H465" s="39"/>
      <c r="I465" s="39"/>
    </row>
    <row r="466">
      <c r="A466" s="41"/>
      <c r="B466" s="20"/>
      <c r="C466" s="39"/>
      <c r="D466" s="39"/>
      <c r="E466" s="39"/>
      <c r="F466" s="39"/>
      <c r="G466" s="39"/>
      <c r="H466" s="39"/>
      <c r="I466" s="39"/>
    </row>
    <row r="467">
      <c r="A467" s="41"/>
      <c r="B467" s="20"/>
      <c r="C467" s="39"/>
      <c r="D467" s="39"/>
      <c r="E467" s="39"/>
      <c r="F467" s="39"/>
      <c r="G467" s="39"/>
      <c r="H467" s="39"/>
      <c r="I467" s="39"/>
    </row>
    <row r="468">
      <c r="A468" s="41"/>
      <c r="B468" s="20"/>
      <c r="C468" s="39"/>
      <c r="D468" s="39"/>
      <c r="E468" s="39"/>
      <c r="F468" s="39"/>
      <c r="G468" s="39"/>
      <c r="H468" s="39"/>
      <c r="I468" s="39"/>
    </row>
    <row r="469">
      <c r="A469" s="41"/>
      <c r="B469" s="20"/>
      <c r="C469" s="39"/>
      <c r="D469" s="39"/>
      <c r="E469" s="39"/>
      <c r="F469" s="39"/>
      <c r="G469" s="39"/>
      <c r="H469" s="39"/>
      <c r="I469" s="39"/>
    </row>
    <row r="470">
      <c r="A470" s="41"/>
      <c r="B470" s="20"/>
      <c r="C470" s="39"/>
      <c r="D470" s="39"/>
      <c r="E470" s="39"/>
      <c r="F470" s="39"/>
      <c r="G470" s="39"/>
      <c r="H470" s="39"/>
      <c r="I470" s="39"/>
    </row>
    <row r="471">
      <c r="A471" s="41"/>
      <c r="B471" s="20"/>
      <c r="C471" s="39"/>
      <c r="D471" s="39"/>
      <c r="E471" s="39"/>
      <c r="F471" s="39"/>
      <c r="G471" s="39"/>
      <c r="H471" s="39"/>
      <c r="I471" s="39"/>
    </row>
    <row r="472">
      <c r="A472" s="41"/>
      <c r="B472" s="20"/>
      <c r="C472" s="39"/>
      <c r="D472" s="39"/>
      <c r="E472" s="39"/>
      <c r="F472" s="39"/>
      <c r="G472" s="39"/>
      <c r="H472" s="39"/>
      <c r="I472" s="39"/>
    </row>
    <row r="473">
      <c r="A473" s="41"/>
      <c r="B473" s="20"/>
      <c r="C473" s="39"/>
      <c r="D473" s="39"/>
      <c r="E473" s="39"/>
      <c r="F473" s="39"/>
      <c r="G473" s="39"/>
      <c r="H473" s="39"/>
      <c r="I473" s="39"/>
    </row>
    <row r="474">
      <c r="A474" s="41"/>
      <c r="B474" s="20"/>
      <c r="C474" s="39"/>
      <c r="D474" s="39"/>
      <c r="E474" s="39"/>
      <c r="F474" s="39"/>
      <c r="G474" s="39"/>
      <c r="H474" s="39"/>
      <c r="I474" s="39"/>
    </row>
    <row r="475">
      <c r="A475" s="41"/>
      <c r="B475" s="20"/>
      <c r="C475" s="39"/>
      <c r="D475" s="39"/>
      <c r="E475" s="39"/>
      <c r="F475" s="39"/>
      <c r="G475" s="39"/>
      <c r="H475" s="39"/>
      <c r="I475" s="39"/>
    </row>
    <row r="476">
      <c r="A476" s="41"/>
      <c r="B476" s="20"/>
      <c r="C476" s="39"/>
      <c r="D476" s="39"/>
      <c r="E476" s="39"/>
      <c r="F476" s="39"/>
      <c r="G476" s="39"/>
      <c r="H476" s="39"/>
      <c r="I476" s="39"/>
    </row>
    <row r="477">
      <c r="A477" s="41"/>
      <c r="B477" s="20"/>
      <c r="C477" s="39"/>
      <c r="D477" s="39"/>
      <c r="E477" s="39"/>
      <c r="F477" s="39"/>
      <c r="G477" s="39"/>
      <c r="H477" s="39"/>
      <c r="I477" s="39"/>
    </row>
    <row r="478">
      <c r="A478" s="41"/>
      <c r="B478" s="20"/>
      <c r="C478" s="39"/>
      <c r="D478" s="39"/>
      <c r="E478" s="39"/>
      <c r="F478" s="39"/>
      <c r="G478" s="39"/>
      <c r="H478" s="39"/>
      <c r="I478" s="39"/>
    </row>
    <row r="479">
      <c r="A479" s="41"/>
      <c r="B479" s="20"/>
      <c r="C479" s="39"/>
      <c r="D479" s="39"/>
      <c r="E479" s="39"/>
      <c r="F479" s="39"/>
      <c r="G479" s="39"/>
      <c r="H479" s="39"/>
      <c r="I479" s="39"/>
    </row>
    <row r="480">
      <c r="A480" s="41"/>
      <c r="B480" s="20"/>
      <c r="C480" s="39"/>
      <c r="D480" s="39"/>
      <c r="E480" s="39"/>
      <c r="F480" s="39"/>
      <c r="G480" s="39"/>
      <c r="H480" s="39"/>
      <c r="I480" s="39"/>
    </row>
    <row r="481">
      <c r="A481" s="41"/>
      <c r="B481" s="20"/>
      <c r="C481" s="39"/>
      <c r="D481" s="39"/>
      <c r="E481" s="39"/>
      <c r="F481" s="39"/>
      <c r="G481" s="39"/>
      <c r="H481" s="39"/>
      <c r="I481" s="39"/>
    </row>
    <row r="482">
      <c r="A482" s="41"/>
      <c r="B482" s="20"/>
      <c r="C482" s="39"/>
      <c r="D482" s="39"/>
      <c r="E482" s="39"/>
      <c r="F482" s="39"/>
      <c r="G482" s="39"/>
      <c r="H482" s="39"/>
      <c r="I482" s="39"/>
    </row>
    <row r="483">
      <c r="A483" s="41"/>
      <c r="B483" s="20"/>
      <c r="C483" s="39"/>
      <c r="D483" s="39"/>
      <c r="E483" s="39"/>
      <c r="F483" s="39"/>
      <c r="G483" s="39"/>
      <c r="H483" s="39"/>
      <c r="I483" s="39"/>
    </row>
    <row r="484">
      <c r="A484" s="41"/>
      <c r="B484" s="20"/>
      <c r="C484" s="39"/>
      <c r="D484" s="39"/>
      <c r="E484" s="39"/>
      <c r="F484" s="39"/>
      <c r="G484" s="39"/>
      <c r="H484" s="39"/>
      <c r="I484" s="39"/>
    </row>
    <row r="485">
      <c r="A485" s="41"/>
      <c r="B485" s="20"/>
      <c r="C485" s="39"/>
      <c r="D485" s="39"/>
      <c r="E485" s="39"/>
      <c r="F485" s="39"/>
      <c r="G485" s="39"/>
      <c r="H485" s="39"/>
      <c r="I485" s="39"/>
    </row>
    <row r="486">
      <c r="A486" s="41"/>
      <c r="B486" s="20"/>
      <c r="C486" s="39"/>
      <c r="D486" s="39"/>
      <c r="E486" s="39"/>
      <c r="F486" s="39"/>
      <c r="G486" s="39"/>
      <c r="H486" s="39"/>
      <c r="I486" s="39"/>
    </row>
    <row r="487">
      <c r="A487" s="41"/>
      <c r="B487" s="20"/>
      <c r="C487" s="39"/>
      <c r="D487" s="39"/>
      <c r="E487" s="39"/>
      <c r="F487" s="39"/>
      <c r="G487" s="39"/>
      <c r="H487" s="39"/>
      <c r="I487" s="39"/>
    </row>
    <row r="488">
      <c r="A488" s="41"/>
      <c r="B488" s="20"/>
      <c r="C488" s="39"/>
      <c r="D488" s="39"/>
      <c r="E488" s="39"/>
      <c r="F488" s="39"/>
      <c r="G488" s="39"/>
      <c r="H488" s="39"/>
      <c r="I488" s="39"/>
    </row>
    <row r="489">
      <c r="A489" s="41"/>
      <c r="B489" s="20"/>
      <c r="C489" s="39"/>
      <c r="D489" s="39"/>
      <c r="E489" s="39"/>
      <c r="F489" s="39"/>
      <c r="G489" s="39"/>
      <c r="H489" s="39"/>
      <c r="I489" s="39"/>
    </row>
    <row r="490">
      <c r="A490" s="41"/>
      <c r="B490" s="20"/>
      <c r="C490" s="39"/>
      <c r="D490" s="39"/>
      <c r="E490" s="39"/>
      <c r="F490" s="39"/>
      <c r="G490" s="39"/>
      <c r="H490" s="39"/>
      <c r="I490" s="39"/>
    </row>
    <row r="491">
      <c r="A491" s="41"/>
      <c r="B491" s="20"/>
      <c r="C491" s="39"/>
      <c r="D491" s="39"/>
      <c r="E491" s="39"/>
      <c r="F491" s="39"/>
      <c r="G491" s="39"/>
      <c r="H491" s="39"/>
      <c r="I491" s="39"/>
    </row>
    <row r="492">
      <c r="A492" s="41"/>
      <c r="B492" s="20"/>
      <c r="C492" s="39"/>
      <c r="D492" s="39"/>
      <c r="E492" s="39"/>
      <c r="F492" s="39"/>
      <c r="G492" s="39"/>
      <c r="H492" s="39"/>
      <c r="I492" s="39"/>
    </row>
    <row r="493">
      <c r="A493" s="41"/>
      <c r="B493" s="20"/>
      <c r="C493" s="39"/>
      <c r="D493" s="39"/>
      <c r="E493" s="39"/>
      <c r="F493" s="39"/>
      <c r="G493" s="39"/>
      <c r="H493" s="39"/>
      <c r="I493" s="39"/>
    </row>
    <row r="494">
      <c r="A494" s="41"/>
      <c r="B494" s="20"/>
      <c r="C494" s="39"/>
      <c r="D494" s="39"/>
      <c r="E494" s="39"/>
      <c r="F494" s="39"/>
      <c r="G494" s="39"/>
      <c r="H494" s="39"/>
      <c r="I494" s="39"/>
    </row>
    <row r="495">
      <c r="A495" s="41"/>
      <c r="B495" s="20"/>
      <c r="C495" s="39"/>
      <c r="D495" s="39"/>
      <c r="E495" s="39"/>
      <c r="F495" s="39"/>
      <c r="G495" s="39"/>
      <c r="H495" s="39"/>
      <c r="I495" s="39"/>
    </row>
    <row r="496">
      <c r="A496" s="41"/>
      <c r="B496" s="20"/>
      <c r="C496" s="39"/>
      <c r="D496" s="39"/>
      <c r="E496" s="39"/>
      <c r="F496" s="39"/>
      <c r="G496" s="39"/>
      <c r="H496" s="39"/>
      <c r="I496" s="39"/>
    </row>
    <row r="497">
      <c r="A497" s="41"/>
      <c r="B497" s="20"/>
      <c r="C497" s="39"/>
      <c r="D497" s="39"/>
      <c r="E497" s="39"/>
      <c r="F497" s="39"/>
      <c r="G497" s="39"/>
      <c r="H497" s="39"/>
      <c r="I497" s="39"/>
    </row>
    <row r="498">
      <c r="A498" s="41"/>
      <c r="B498" s="20"/>
      <c r="C498" s="39"/>
      <c r="D498" s="39"/>
      <c r="E498" s="39"/>
      <c r="F498" s="39"/>
      <c r="G498" s="39"/>
      <c r="H498" s="39"/>
      <c r="I498" s="39"/>
    </row>
    <row r="499">
      <c r="A499" s="41"/>
      <c r="B499" s="20"/>
      <c r="C499" s="39"/>
      <c r="D499" s="39"/>
      <c r="E499" s="39"/>
      <c r="F499" s="39"/>
      <c r="G499" s="39"/>
      <c r="H499" s="39"/>
      <c r="I499" s="39"/>
    </row>
    <row r="500">
      <c r="A500" s="41"/>
      <c r="B500" s="20"/>
      <c r="C500" s="39"/>
      <c r="D500" s="39"/>
      <c r="E500" s="39"/>
      <c r="F500" s="39"/>
      <c r="G500" s="39"/>
      <c r="H500" s="39"/>
      <c r="I500" s="39"/>
    </row>
    <row r="501">
      <c r="A501" s="41"/>
      <c r="B501" s="20"/>
      <c r="C501" s="39"/>
      <c r="D501" s="39"/>
      <c r="E501" s="39"/>
      <c r="F501" s="39"/>
      <c r="G501" s="39"/>
      <c r="H501" s="39"/>
      <c r="I501" s="39"/>
    </row>
    <row r="502">
      <c r="A502" s="41"/>
      <c r="B502" s="20"/>
      <c r="C502" s="39"/>
      <c r="D502" s="39"/>
      <c r="E502" s="39"/>
      <c r="F502" s="39"/>
      <c r="G502" s="39"/>
      <c r="H502" s="39"/>
      <c r="I502" s="39"/>
    </row>
    <row r="503">
      <c r="A503" s="41"/>
      <c r="B503" s="20"/>
      <c r="C503" s="39"/>
      <c r="D503" s="39"/>
      <c r="E503" s="39"/>
      <c r="F503" s="39"/>
      <c r="G503" s="39"/>
      <c r="H503" s="39"/>
      <c r="I503" s="39"/>
    </row>
    <row r="504">
      <c r="A504" s="41"/>
      <c r="B504" s="20"/>
      <c r="C504" s="39"/>
      <c r="D504" s="39"/>
      <c r="E504" s="39"/>
      <c r="F504" s="39"/>
      <c r="G504" s="39"/>
      <c r="H504" s="39"/>
      <c r="I504" s="39"/>
    </row>
    <row r="505">
      <c r="A505" s="41"/>
      <c r="B505" s="20"/>
      <c r="C505" s="39"/>
      <c r="D505" s="39"/>
      <c r="E505" s="39"/>
      <c r="F505" s="39"/>
      <c r="G505" s="39"/>
      <c r="H505" s="39"/>
      <c r="I505" s="39"/>
    </row>
    <row r="506">
      <c r="A506" s="41"/>
      <c r="B506" s="20"/>
      <c r="C506" s="39"/>
      <c r="D506" s="39"/>
      <c r="E506" s="39"/>
      <c r="F506" s="39"/>
      <c r="G506" s="39"/>
      <c r="H506" s="39"/>
      <c r="I506" s="39"/>
    </row>
    <row r="507">
      <c r="A507" s="41"/>
      <c r="B507" s="20"/>
      <c r="C507" s="39"/>
      <c r="D507" s="39"/>
      <c r="E507" s="39"/>
      <c r="F507" s="39"/>
      <c r="G507" s="39"/>
      <c r="H507" s="39"/>
      <c r="I507" s="39"/>
    </row>
    <row r="508">
      <c r="A508" s="41"/>
      <c r="B508" s="20"/>
      <c r="C508" s="39"/>
      <c r="D508" s="39"/>
      <c r="E508" s="39"/>
      <c r="F508" s="39"/>
      <c r="G508" s="39"/>
      <c r="H508" s="39"/>
      <c r="I508" s="39"/>
    </row>
    <row r="509">
      <c r="A509" s="41"/>
      <c r="B509" s="20"/>
      <c r="C509" s="39"/>
      <c r="D509" s="39"/>
      <c r="E509" s="39"/>
      <c r="F509" s="39"/>
      <c r="G509" s="39"/>
      <c r="H509" s="39"/>
      <c r="I509" s="39"/>
    </row>
    <row r="510">
      <c r="A510" s="41"/>
      <c r="B510" s="20"/>
      <c r="C510" s="39"/>
      <c r="D510" s="39"/>
      <c r="E510" s="39"/>
      <c r="F510" s="39"/>
      <c r="G510" s="39"/>
      <c r="H510" s="39"/>
      <c r="I510" s="39"/>
    </row>
    <row r="511">
      <c r="A511" s="41"/>
      <c r="B511" s="20"/>
      <c r="C511" s="39"/>
      <c r="D511" s="39"/>
      <c r="E511" s="39"/>
      <c r="F511" s="39"/>
      <c r="G511" s="39"/>
      <c r="H511" s="39"/>
      <c r="I511" s="39"/>
    </row>
    <row r="512">
      <c r="A512" s="41"/>
      <c r="B512" s="20"/>
      <c r="C512" s="39"/>
      <c r="D512" s="39"/>
      <c r="E512" s="39"/>
      <c r="F512" s="39"/>
      <c r="G512" s="39"/>
      <c r="H512" s="39"/>
      <c r="I512" s="39"/>
    </row>
    <row r="513">
      <c r="A513" s="41"/>
      <c r="B513" s="20"/>
      <c r="C513" s="39"/>
      <c r="D513" s="39"/>
      <c r="E513" s="39"/>
      <c r="F513" s="39"/>
      <c r="G513" s="39"/>
      <c r="H513" s="39"/>
      <c r="I513" s="39"/>
    </row>
    <row r="514">
      <c r="A514" s="41"/>
      <c r="B514" s="20"/>
      <c r="C514" s="39"/>
      <c r="D514" s="39"/>
      <c r="E514" s="39"/>
      <c r="F514" s="39"/>
      <c r="G514" s="39"/>
      <c r="H514" s="39"/>
      <c r="I514" s="39"/>
    </row>
    <row r="515">
      <c r="A515" s="41"/>
      <c r="B515" s="20"/>
      <c r="C515" s="39"/>
      <c r="D515" s="39"/>
      <c r="E515" s="39"/>
      <c r="F515" s="39"/>
      <c r="G515" s="39"/>
      <c r="H515" s="39"/>
      <c r="I515" s="39"/>
    </row>
    <row r="516">
      <c r="A516" s="41"/>
      <c r="B516" s="20"/>
      <c r="C516" s="39"/>
      <c r="D516" s="39"/>
      <c r="E516" s="39"/>
      <c r="F516" s="39"/>
      <c r="G516" s="39"/>
      <c r="H516" s="39"/>
      <c r="I516" s="39"/>
    </row>
    <row r="517">
      <c r="A517" s="41"/>
      <c r="B517" s="20"/>
      <c r="C517" s="39"/>
      <c r="D517" s="39"/>
      <c r="E517" s="39"/>
      <c r="F517" s="39"/>
      <c r="G517" s="39"/>
      <c r="H517" s="39"/>
      <c r="I517" s="39"/>
    </row>
    <row r="518">
      <c r="A518" s="41"/>
      <c r="B518" s="20"/>
      <c r="C518" s="39"/>
      <c r="D518" s="39"/>
      <c r="E518" s="39"/>
      <c r="F518" s="39"/>
      <c r="G518" s="39"/>
      <c r="H518" s="39"/>
      <c r="I518" s="39"/>
    </row>
    <row r="519">
      <c r="A519" s="41"/>
      <c r="B519" s="20"/>
      <c r="C519" s="39"/>
      <c r="D519" s="39"/>
      <c r="E519" s="39"/>
      <c r="F519" s="39"/>
      <c r="G519" s="39"/>
      <c r="H519" s="39"/>
      <c r="I519" s="39"/>
    </row>
    <row r="520">
      <c r="A520" s="41"/>
      <c r="B520" s="20"/>
      <c r="C520" s="39"/>
      <c r="D520" s="39"/>
      <c r="E520" s="39"/>
      <c r="F520" s="39"/>
      <c r="G520" s="39"/>
      <c r="H520" s="39"/>
      <c r="I520" s="39"/>
    </row>
    <row r="521">
      <c r="A521" s="41"/>
      <c r="B521" s="20"/>
      <c r="C521" s="39"/>
      <c r="D521" s="39"/>
      <c r="E521" s="39"/>
      <c r="F521" s="39"/>
      <c r="G521" s="39"/>
      <c r="H521" s="39"/>
      <c r="I521" s="39"/>
    </row>
    <row r="522">
      <c r="A522" s="41"/>
      <c r="B522" s="20"/>
      <c r="C522" s="39"/>
      <c r="D522" s="39"/>
      <c r="E522" s="39"/>
      <c r="F522" s="39"/>
      <c r="G522" s="39"/>
      <c r="H522" s="39"/>
      <c r="I522" s="39"/>
    </row>
    <row r="523">
      <c r="A523" s="41"/>
      <c r="B523" s="20"/>
      <c r="C523" s="39"/>
      <c r="D523" s="39"/>
      <c r="E523" s="39"/>
      <c r="F523" s="39"/>
      <c r="G523" s="39"/>
      <c r="H523" s="39"/>
      <c r="I523" s="39"/>
    </row>
    <row r="524">
      <c r="A524" s="41"/>
      <c r="B524" s="20"/>
      <c r="C524" s="39"/>
      <c r="D524" s="39"/>
      <c r="E524" s="39"/>
      <c r="F524" s="39"/>
      <c r="G524" s="39"/>
      <c r="H524" s="39"/>
      <c r="I524" s="39"/>
    </row>
    <row r="525">
      <c r="A525" s="41"/>
      <c r="B525" s="20"/>
      <c r="C525" s="39"/>
      <c r="D525" s="39"/>
      <c r="E525" s="39"/>
      <c r="F525" s="39"/>
      <c r="G525" s="39"/>
      <c r="H525" s="39"/>
      <c r="I525" s="39"/>
    </row>
    <row r="526">
      <c r="A526" s="41"/>
      <c r="B526" s="20"/>
      <c r="C526" s="39"/>
      <c r="D526" s="39"/>
      <c r="E526" s="39"/>
      <c r="F526" s="39"/>
      <c r="G526" s="39"/>
      <c r="H526" s="39"/>
      <c r="I526" s="39"/>
    </row>
    <row r="527">
      <c r="A527" s="41"/>
      <c r="B527" s="20"/>
      <c r="C527" s="39"/>
      <c r="D527" s="39"/>
      <c r="E527" s="39"/>
      <c r="F527" s="39"/>
      <c r="G527" s="39"/>
      <c r="H527" s="39"/>
      <c r="I527" s="39"/>
    </row>
    <row r="528">
      <c r="A528" s="41"/>
      <c r="B528" s="20"/>
      <c r="C528" s="39"/>
      <c r="D528" s="39"/>
      <c r="E528" s="39"/>
      <c r="F528" s="39"/>
      <c r="G528" s="39"/>
      <c r="H528" s="39"/>
      <c r="I528" s="39"/>
    </row>
    <row r="529">
      <c r="A529" s="41"/>
      <c r="B529" s="20"/>
      <c r="C529" s="39"/>
      <c r="D529" s="39"/>
      <c r="E529" s="39"/>
      <c r="F529" s="39"/>
      <c r="G529" s="39"/>
      <c r="H529" s="39"/>
      <c r="I529" s="39"/>
    </row>
    <row r="530">
      <c r="A530" s="41"/>
      <c r="B530" s="20"/>
      <c r="C530" s="39"/>
      <c r="D530" s="39"/>
      <c r="E530" s="39"/>
      <c r="F530" s="39"/>
      <c r="G530" s="39"/>
      <c r="H530" s="39"/>
      <c r="I530" s="39"/>
    </row>
    <row r="531">
      <c r="A531" s="41"/>
      <c r="B531" s="20"/>
      <c r="C531" s="39"/>
      <c r="D531" s="39"/>
      <c r="E531" s="39"/>
      <c r="F531" s="39"/>
      <c r="G531" s="39"/>
      <c r="H531" s="39"/>
      <c r="I531" s="39"/>
    </row>
    <row r="532">
      <c r="A532" s="41"/>
      <c r="B532" s="20"/>
      <c r="C532" s="39"/>
      <c r="D532" s="39"/>
      <c r="E532" s="39"/>
      <c r="F532" s="39"/>
      <c r="G532" s="39"/>
      <c r="H532" s="39"/>
      <c r="I532" s="39"/>
    </row>
    <row r="533">
      <c r="A533" s="41"/>
      <c r="B533" s="20"/>
      <c r="C533" s="39"/>
      <c r="D533" s="39"/>
      <c r="E533" s="39"/>
      <c r="F533" s="39"/>
      <c r="G533" s="39"/>
      <c r="H533" s="39"/>
      <c r="I533" s="39"/>
    </row>
    <row r="534">
      <c r="A534" s="41"/>
      <c r="B534" s="20"/>
      <c r="C534" s="39"/>
      <c r="D534" s="39"/>
      <c r="E534" s="39"/>
      <c r="F534" s="39"/>
      <c r="G534" s="39"/>
      <c r="H534" s="39"/>
      <c r="I534" s="39"/>
    </row>
    <row r="535">
      <c r="A535" s="41"/>
      <c r="B535" s="20"/>
      <c r="C535" s="39"/>
      <c r="D535" s="39"/>
      <c r="E535" s="39"/>
      <c r="F535" s="39"/>
      <c r="G535" s="39"/>
      <c r="H535" s="39"/>
      <c r="I535" s="39"/>
    </row>
    <row r="536">
      <c r="A536" s="41"/>
      <c r="B536" s="20"/>
      <c r="C536" s="39"/>
      <c r="D536" s="39"/>
      <c r="E536" s="39"/>
      <c r="F536" s="39"/>
      <c r="G536" s="39"/>
      <c r="H536" s="39"/>
      <c r="I536" s="39"/>
    </row>
    <row r="537">
      <c r="A537" s="41"/>
      <c r="B537" s="20"/>
      <c r="C537" s="39"/>
      <c r="D537" s="39"/>
      <c r="E537" s="39"/>
      <c r="F537" s="39"/>
      <c r="G537" s="39"/>
      <c r="H537" s="39"/>
      <c r="I537" s="39"/>
    </row>
    <row r="538">
      <c r="A538" s="41"/>
      <c r="B538" s="20"/>
      <c r="C538" s="39"/>
      <c r="D538" s="39"/>
      <c r="E538" s="39"/>
      <c r="F538" s="39"/>
      <c r="G538" s="39"/>
      <c r="H538" s="39"/>
      <c r="I538" s="39"/>
    </row>
    <row r="539">
      <c r="A539" s="41"/>
      <c r="B539" s="20"/>
      <c r="C539" s="39"/>
      <c r="D539" s="39"/>
      <c r="E539" s="39"/>
      <c r="F539" s="39"/>
      <c r="G539" s="39"/>
      <c r="H539" s="39"/>
      <c r="I539" s="39"/>
    </row>
    <row r="540">
      <c r="A540" s="41"/>
      <c r="B540" s="20"/>
      <c r="C540" s="39"/>
      <c r="D540" s="39"/>
      <c r="E540" s="39"/>
      <c r="F540" s="39"/>
      <c r="G540" s="39"/>
      <c r="H540" s="39"/>
      <c r="I540" s="39"/>
    </row>
    <row r="541">
      <c r="A541" s="41"/>
      <c r="B541" s="20"/>
      <c r="C541" s="39"/>
      <c r="D541" s="39"/>
      <c r="E541" s="39"/>
      <c r="F541" s="39"/>
      <c r="G541" s="39"/>
      <c r="H541" s="39"/>
      <c r="I541" s="39"/>
    </row>
    <row r="542">
      <c r="A542" s="41"/>
      <c r="B542" s="20"/>
      <c r="C542" s="39"/>
      <c r="D542" s="39"/>
      <c r="E542" s="39"/>
      <c r="F542" s="39"/>
      <c r="G542" s="39"/>
      <c r="H542" s="39"/>
      <c r="I542" s="39"/>
    </row>
    <row r="543">
      <c r="A543" s="41"/>
      <c r="B543" s="20"/>
      <c r="C543" s="39"/>
      <c r="D543" s="39"/>
      <c r="E543" s="39"/>
      <c r="F543" s="39"/>
      <c r="G543" s="39"/>
      <c r="H543" s="39"/>
      <c r="I543" s="39"/>
    </row>
    <row r="544">
      <c r="A544" s="41"/>
      <c r="B544" s="20"/>
      <c r="C544" s="39"/>
      <c r="D544" s="39"/>
      <c r="E544" s="39"/>
      <c r="F544" s="39"/>
      <c r="G544" s="39"/>
      <c r="H544" s="39"/>
      <c r="I544" s="39"/>
    </row>
    <row r="545">
      <c r="A545" s="41"/>
      <c r="B545" s="20"/>
      <c r="C545" s="39"/>
      <c r="D545" s="39"/>
      <c r="E545" s="39"/>
      <c r="F545" s="39"/>
      <c r="G545" s="39"/>
      <c r="H545" s="39"/>
      <c r="I545" s="39"/>
    </row>
    <row r="546">
      <c r="A546" s="41"/>
      <c r="B546" s="20"/>
      <c r="C546" s="39"/>
      <c r="D546" s="39"/>
      <c r="E546" s="39"/>
      <c r="F546" s="39"/>
      <c r="G546" s="39"/>
      <c r="H546" s="39"/>
      <c r="I546" s="39"/>
    </row>
    <row r="547">
      <c r="A547" s="41"/>
      <c r="B547" s="20"/>
      <c r="C547" s="39"/>
      <c r="D547" s="39"/>
      <c r="E547" s="39"/>
      <c r="F547" s="39"/>
      <c r="G547" s="39"/>
      <c r="H547" s="39"/>
      <c r="I547" s="39"/>
    </row>
    <row r="548">
      <c r="A548" s="41"/>
      <c r="B548" s="20"/>
      <c r="C548" s="39"/>
      <c r="D548" s="39"/>
      <c r="E548" s="39"/>
      <c r="F548" s="39"/>
      <c r="G548" s="39"/>
      <c r="H548" s="39"/>
      <c r="I548" s="39"/>
    </row>
    <row r="549">
      <c r="A549" s="41"/>
      <c r="B549" s="20"/>
      <c r="C549" s="39"/>
      <c r="D549" s="39"/>
      <c r="E549" s="39"/>
      <c r="F549" s="39"/>
      <c r="G549" s="39"/>
      <c r="H549" s="39"/>
      <c r="I549" s="39"/>
    </row>
    <row r="550">
      <c r="A550" s="41"/>
      <c r="B550" s="20"/>
      <c r="C550" s="39"/>
      <c r="D550" s="39"/>
      <c r="E550" s="39"/>
      <c r="F550" s="39"/>
      <c r="G550" s="39"/>
      <c r="H550" s="39"/>
      <c r="I550" s="39"/>
    </row>
    <row r="551">
      <c r="A551" s="41"/>
      <c r="B551" s="20"/>
      <c r="C551" s="39"/>
      <c r="D551" s="39"/>
      <c r="E551" s="39"/>
      <c r="F551" s="39"/>
      <c r="G551" s="39"/>
      <c r="H551" s="39"/>
      <c r="I551" s="39"/>
    </row>
    <row r="552">
      <c r="A552" s="41"/>
      <c r="B552" s="20"/>
      <c r="C552" s="39"/>
      <c r="D552" s="39"/>
      <c r="E552" s="39"/>
      <c r="F552" s="39"/>
      <c r="G552" s="39"/>
      <c r="H552" s="39"/>
      <c r="I552" s="39"/>
    </row>
    <row r="553">
      <c r="A553" s="41"/>
      <c r="B553" s="20"/>
      <c r="C553" s="39"/>
      <c r="D553" s="39"/>
      <c r="E553" s="39"/>
      <c r="F553" s="39"/>
      <c r="G553" s="39"/>
      <c r="H553" s="39"/>
      <c r="I553" s="39"/>
    </row>
    <row r="554">
      <c r="A554" s="41"/>
      <c r="B554" s="20"/>
      <c r="C554" s="39"/>
      <c r="D554" s="39"/>
      <c r="E554" s="39"/>
      <c r="F554" s="39"/>
      <c r="G554" s="39"/>
      <c r="H554" s="39"/>
      <c r="I554" s="39"/>
    </row>
    <row r="555">
      <c r="A555" s="41"/>
      <c r="B555" s="20"/>
      <c r="C555" s="39"/>
      <c r="D555" s="39"/>
      <c r="E555" s="39"/>
      <c r="F555" s="39"/>
      <c r="G555" s="39"/>
      <c r="H555" s="39"/>
      <c r="I555" s="39"/>
    </row>
    <row r="556">
      <c r="A556" s="41"/>
      <c r="B556" s="20"/>
      <c r="C556" s="39"/>
      <c r="D556" s="39"/>
      <c r="E556" s="39"/>
      <c r="F556" s="39"/>
      <c r="G556" s="39"/>
      <c r="H556" s="39"/>
      <c r="I556" s="39"/>
    </row>
    <row r="557">
      <c r="A557" s="41"/>
      <c r="B557" s="20"/>
      <c r="C557" s="39"/>
      <c r="D557" s="39"/>
      <c r="E557" s="39"/>
      <c r="F557" s="39"/>
      <c r="G557" s="39"/>
      <c r="H557" s="39"/>
      <c r="I557" s="39"/>
    </row>
    <row r="558">
      <c r="A558" s="41"/>
      <c r="B558" s="20"/>
      <c r="C558" s="39"/>
      <c r="D558" s="39"/>
      <c r="E558" s="39"/>
      <c r="F558" s="39"/>
      <c r="G558" s="39"/>
      <c r="H558" s="39"/>
      <c r="I558" s="39"/>
    </row>
    <row r="559">
      <c r="A559" s="41"/>
      <c r="B559" s="20"/>
      <c r="C559" s="39"/>
      <c r="D559" s="39"/>
      <c r="E559" s="39"/>
      <c r="F559" s="39"/>
      <c r="G559" s="39"/>
      <c r="H559" s="39"/>
      <c r="I559" s="39"/>
    </row>
    <row r="560">
      <c r="A560" s="41"/>
      <c r="B560" s="20"/>
      <c r="C560" s="39"/>
      <c r="D560" s="39"/>
      <c r="E560" s="39"/>
      <c r="F560" s="39"/>
      <c r="G560" s="39"/>
      <c r="H560" s="39"/>
      <c r="I560" s="39"/>
    </row>
    <row r="561">
      <c r="A561" s="41"/>
      <c r="B561" s="20"/>
      <c r="C561" s="39"/>
      <c r="D561" s="39"/>
      <c r="E561" s="39"/>
      <c r="F561" s="39"/>
      <c r="G561" s="39"/>
      <c r="H561" s="39"/>
      <c r="I561" s="39"/>
    </row>
    <row r="562">
      <c r="A562" s="41"/>
      <c r="B562" s="20"/>
      <c r="C562" s="39"/>
      <c r="D562" s="39"/>
      <c r="E562" s="39"/>
      <c r="F562" s="39"/>
      <c r="G562" s="39"/>
      <c r="H562" s="39"/>
      <c r="I562" s="39"/>
    </row>
    <row r="563">
      <c r="A563" s="41"/>
      <c r="B563" s="20"/>
      <c r="C563" s="39"/>
      <c r="D563" s="39"/>
      <c r="E563" s="39"/>
      <c r="F563" s="39"/>
      <c r="G563" s="39"/>
      <c r="H563" s="39"/>
      <c r="I563" s="39"/>
    </row>
    <row r="564">
      <c r="A564" s="41"/>
      <c r="B564" s="20"/>
      <c r="C564" s="39"/>
      <c r="D564" s="39"/>
      <c r="E564" s="39"/>
      <c r="F564" s="39"/>
      <c r="G564" s="39"/>
      <c r="H564" s="39"/>
      <c r="I564" s="39"/>
    </row>
    <row r="565">
      <c r="A565" s="41"/>
      <c r="B565" s="20"/>
      <c r="C565" s="39"/>
      <c r="D565" s="39"/>
      <c r="E565" s="39"/>
      <c r="F565" s="39"/>
      <c r="G565" s="39"/>
      <c r="H565" s="39"/>
      <c r="I565" s="39"/>
    </row>
    <row r="566">
      <c r="A566" s="41"/>
      <c r="B566" s="20"/>
      <c r="C566" s="39"/>
      <c r="D566" s="39"/>
      <c r="E566" s="39"/>
      <c r="F566" s="39"/>
      <c r="G566" s="39"/>
      <c r="H566" s="39"/>
      <c r="I566" s="39"/>
    </row>
    <row r="567">
      <c r="A567" s="41"/>
      <c r="B567" s="20"/>
      <c r="C567" s="39"/>
      <c r="D567" s="39"/>
      <c r="E567" s="39"/>
      <c r="F567" s="39"/>
      <c r="G567" s="39"/>
      <c r="H567" s="39"/>
      <c r="I567" s="39"/>
    </row>
    <row r="568">
      <c r="A568" s="41"/>
      <c r="B568" s="20"/>
      <c r="C568" s="39"/>
      <c r="D568" s="39"/>
      <c r="E568" s="39"/>
      <c r="F568" s="39"/>
      <c r="G568" s="39"/>
      <c r="H568" s="39"/>
      <c r="I568" s="39"/>
    </row>
    <row r="569">
      <c r="A569" s="41"/>
      <c r="B569" s="20"/>
      <c r="C569" s="39"/>
      <c r="D569" s="39"/>
      <c r="E569" s="39"/>
      <c r="F569" s="39"/>
      <c r="G569" s="39"/>
      <c r="H569" s="39"/>
      <c r="I569" s="39"/>
    </row>
    <row r="570">
      <c r="A570" s="41"/>
      <c r="B570" s="20"/>
      <c r="C570" s="39"/>
      <c r="D570" s="39"/>
      <c r="E570" s="39"/>
      <c r="F570" s="39"/>
      <c r="G570" s="39"/>
      <c r="H570" s="39"/>
      <c r="I570" s="39"/>
    </row>
    <row r="571">
      <c r="A571" s="41"/>
      <c r="B571" s="20"/>
      <c r="C571" s="39"/>
      <c r="D571" s="39"/>
      <c r="E571" s="39"/>
      <c r="F571" s="39"/>
      <c r="G571" s="39"/>
      <c r="H571" s="39"/>
      <c r="I571" s="39"/>
    </row>
    <row r="572">
      <c r="A572" s="41"/>
      <c r="B572" s="20"/>
      <c r="C572" s="39"/>
      <c r="D572" s="39"/>
      <c r="E572" s="39"/>
      <c r="F572" s="39"/>
      <c r="G572" s="39"/>
      <c r="H572" s="39"/>
      <c r="I572" s="39"/>
    </row>
    <row r="573">
      <c r="A573" s="41"/>
      <c r="B573" s="20"/>
      <c r="C573" s="39"/>
      <c r="D573" s="39"/>
      <c r="E573" s="39"/>
      <c r="F573" s="39"/>
      <c r="G573" s="39"/>
      <c r="H573" s="39"/>
      <c r="I573" s="39"/>
    </row>
    <row r="574">
      <c r="A574" s="41"/>
      <c r="B574" s="20"/>
      <c r="C574" s="39"/>
      <c r="D574" s="39"/>
      <c r="E574" s="39"/>
      <c r="F574" s="39"/>
      <c r="G574" s="39"/>
      <c r="H574" s="39"/>
      <c r="I574" s="39"/>
    </row>
    <row r="575">
      <c r="A575" s="41"/>
      <c r="B575" s="20"/>
      <c r="C575" s="39"/>
      <c r="D575" s="39"/>
      <c r="E575" s="39"/>
      <c r="F575" s="39"/>
      <c r="G575" s="39"/>
      <c r="H575" s="39"/>
      <c r="I575" s="39"/>
    </row>
    <row r="576">
      <c r="A576" s="41"/>
      <c r="B576" s="20"/>
      <c r="C576" s="39"/>
      <c r="D576" s="39"/>
      <c r="E576" s="39"/>
      <c r="F576" s="39"/>
      <c r="G576" s="39"/>
      <c r="H576" s="39"/>
      <c r="I576" s="39"/>
    </row>
    <row r="577">
      <c r="A577" s="41"/>
      <c r="B577" s="20"/>
      <c r="C577" s="39"/>
      <c r="D577" s="39"/>
      <c r="E577" s="39"/>
      <c r="F577" s="39"/>
      <c r="G577" s="39"/>
      <c r="H577" s="39"/>
      <c r="I577" s="39"/>
    </row>
    <row r="578">
      <c r="A578" s="41"/>
      <c r="B578" s="20"/>
      <c r="C578" s="39"/>
      <c r="D578" s="39"/>
      <c r="E578" s="39"/>
      <c r="F578" s="39"/>
      <c r="G578" s="39"/>
      <c r="H578" s="39"/>
      <c r="I578" s="39"/>
    </row>
    <row r="579">
      <c r="A579" s="41"/>
      <c r="B579" s="20"/>
      <c r="C579" s="39"/>
      <c r="D579" s="39"/>
      <c r="E579" s="39"/>
      <c r="F579" s="39"/>
      <c r="G579" s="39"/>
      <c r="H579" s="39"/>
      <c r="I579" s="39"/>
    </row>
    <row r="580">
      <c r="A580" s="41"/>
      <c r="B580" s="20"/>
      <c r="C580" s="39"/>
      <c r="D580" s="39"/>
      <c r="E580" s="39"/>
      <c r="F580" s="39"/>
      <c r="G580" s="39"/>
      <c r="H580" s="39"/>
      <c r="I580" s="39"/>
    </row>
    <row r="581">
      <c r="A581" s="41"/>
      <c r="B581" s="20"/>
      <c r="C581" s="39"/>
      <c r="D581" s="39"/>
      <c r="E581" s="39"/>
      <c r="F581" s="39"/>
      <c r="G581" s="39"/>
      <c r="H581" s="39"/>
      <c r="I581" s="39"/>
    </row>
    <row r="582">
      <c r="A582" s="41"/>
      <c r="B582" s="20"/>
      <c r="C582" s="39"/>
      <c r="D582" s="39"/>
      <c r="E582" s="39"/>
      <c r="F582" s="39"/>
      <c r="G582" s="39"/>
      <c r="H582" s="39"/>
      <c r="I582" s="39"/>
    </row>
    <row r="583">
      <c r="A583" s="41"/>
      <c r="B583" s="20"/>
      <c r="C583" s="39"/>
      <c r="D583" s="39"/>
      <c r="E583" s="39"/>
      <c r="F583" s="39"/>
      <c r="G583" s="39"/>
      <c r="H583" s="39"/>
      <c r="I583" s="39"/>
    </row>
    <row r="584">
      <c r="A584" s="41"/>
      <c r="B584" s="20"/>
      <c r="C584" s="39"/>
      <c r="D584" s="39"/>
      <c r="E584" s="39"/>
      <c r="F584" s="39"/>
      <c r="G584" s="39"/>
      <c r="H584" s="39"/>
      <c r="I584" s="39"/>
    </row>
    <row r="585">
      <c r="A585" s="41"/>
      <c r="B585" s="20"/>
      <c r="C585" s="39"/>
      <c r="D585" s="39"/>
      <c r="E585" s="39"/>
      <c r="F585" s="39"/>
      <c r="G585" s="39"/>
      <c r="H585" s="39"/>
      <c r="I585" s="39"/>
    </row>
    <row r="586">
      <c r="A586" s="41"/>
      <c r="B586" s="20"/>
      <c r="C586" s="39"/>
      <c r="D586" s="39"/>
      <c r="E586" s="39"/>
      <c r="F586" s="39"/>
      <c r="G586" s="39"/>
      <c r="H586" s="39"/>
      <c r="I586" s="39"/>
    </row>
    <row r="587">
      <c r="A587" s="41"/>
      <c r="B587" s="20"/>
      <c r="C587" s="39"/>
      <c r="D587" s="39"/>
      <c r="E587" s="39"/>
      <c r="F587" s="39"/>
      <c r="G587" s="39"/>
      <c r="H587" s="39"/>
      <c r="I587" s="39"/>
    </row>
    <row r="588">
      <c r="A588" s="41"/>
      <c r="B588" s="20"/>
      <c r="C588" s="39"/>
      <c r="D588" s="39"/>
      <c r="E588" s="39"/>
      <c r="F588" s="39"/>
      <c r="G588" s="39"/>
      <c r="H588" s="39"/>
      <c r="I588" s="39"/>
    </row>
    <row r="589">
      <c r="A589" s="41"/>
      <c r="B589" s="20"/>
      <c r="C589" s="39"/>
      <c r="D589" s="39"/>
      <c r="E589" s="39"/>
      <c r="F589" s="39"/>
      <c r="G589" s="39"/>
      <c r="H589" s="39"/>
      <c r="I589" s="39"/>
    </row>
    <row r="590">
      <c r="A590" s="41"/>
      <c r="B590" s="20"/>
      <c r="C590" s="39"/>
      <c r="D590" s="39"/>
      <c r="E590" s="39"/>
      <c r="F590" s="39"/>
      <c r="G590" s="39"/>
      <c r="H590" s="39"/>
      <c r="I590" s="39"/>
    </row>
    <row r="591">
      <c r="A591" s="41"/>
      <c r="B591" s="20"/>
      <c r="C591" s="39"/>
      <c r="D591" s="39"/>
      <c r="E591" s="39"/>
      <c r="F591" s="39"/>
      <c r="G591" s="39"/>
      <c r="H591" s="39"/>
      <c r="I591" s="39"/>
    </row>
    <row r="592">
      <c r="A592" s="41"/>
      <c r="B592" s="20"/>
      <c r="C592" s="39"/>
      <c r="D592" s="39"/>
      <c r="E592" s="39"/>
      <c r="F592" s="39"/>
      <c r="G592" s="39"/>
      <c r="H592" s="39"/>
      <c r="I592" s="39"/>
    </row>
    <row r="593">
      <c r="A593" s="41"/>
      <c r="B593" s="20"/>
      <c r="C593" s="39"/>
      <c r="D593" s="39"/>
      <c r="E593" s="39"/>
      <c r="F593" s="39"/>
      <c r="G593" s="39"/>
      <c r="H593" s="39"/>
      <c r="I593" s="39"/>
    </row>
    <row r="594">
      <c r="A594" s="41"/>
      <c r="B594" s="20"/>
      <c r="C594" s="39"/>
      <c r="D594" s="39"/>
      <c r="E594" s="39"/>
      <c r="F594" s="39"/>
      <c r="G594" s="39"/>
      <c r="H594" s="39"/>
      <c r="I594" s="39"/>
    </row>
    <row r="595">
      <c r="A595" s="41"/>
      <c r="B595" s="20"/>
      <c r="C595" s="39"/>
      <c r="D595" s="39"/>
      <c r="E595" s="39"/>
      <c r="F595" s="39"/>
      <c r="G595" s="39"/>
      <c r="H595" s="39"/>
      <c r="I595" s="39"/>
    </row>
    <row r="596">
      <c r="A596" s="41"/>
      <c r="B596" s="20"/>
      <c r="C596" s="39"/>
      <c r="D596" s="39"/>
      <c r="E596" s="39"/>
      <c r="F596" s="39"/>
      <c r="G596" s="39"/>
      <c r="H596" s="39"/>
      <c r="I596" s="39"/>
    </row>
    <row r="597">
      <c r="A597" s="41"/>
      <c r="B597" s="20"/>
      <c r="C597" s="39"/>
      <c r="D597" s="39"/>
      <c r="E597" s="39"/>
      <c r="F597" s="39"/>
      <c r="G597" s="39"/>
      <c r="H597" s="39"/>
      <c r="I597" s="39"/>
    </row>
    <row r="598">
      <c r="A598" s="41"/>
      <c r="B598" s="20"/>
      <c r="C598" s="39"/>
      <c r="D598" s="39"/>
      <c r="E598" s="39"/>
      <c r="F598" s="39"/>
      <c r="G598" s="39"/>
      <c r="H598" s="39"/>
      <c r="I598" s="39"/>
    </row>
    <row r="599">
      <c r="A599" s="41"/>
      <c r="B599" s="20"/>
      <c r="C599" s="39"/>
      <c r="D599" s="39"/>
      <c r="E599" s="39"/>
      <c r="F599" s="39"/>
      <c r="G599" s="39"/>
      <c r="H599" s="39"/>
      <c r="I599" s="39"/>
    </row>
    <row r="600">
      <c r="A600" s="41"/>
      <c r="B600" s="20"/>
      <c r="C600" s="39"/>
      <c r="D600" s="39"/>
      <c r="E600" s="39"/>
      <c r="F600" s="39"/>
      <c r="G600" s="39"/>
      <c r="H600" s="39"/>
      <c r="I600" s="39"/>
    </row>
    <row r="601">
      <c r="A601" s="41"/>
      <c r="B601" s="20"/>
      <c r="C601" s="39"/>
      <c r="D601" s="39"/>
      <c r="E601" s="39"/>
      <c r="F601" s="39"/>
      <c r="G601" s="39"/>
      <c r="H601" s="39"/>
      <c r="I601" s="39"/>
    </row>
    <row r="602">
      <c r="A602" s="41"/>
      <c r="B602" s="20"/>
      <c r="C602" s="39"/>
      <c r="D602" s="39"/>
      <c r="E602" s="39"/>
      <c r="F602" s="39"/>
      <c r="G602" s="39"/>
      <c r="H602" s="39"/>
      <c r="I602" s="39"/>
    </row>
    <row r="603">
      <c r="A603" s="41"/>
      <c r="B603" s="20"/>
      <c r="C603" s="39"/>
      <c r="D603" s="39"/>
      <c r="E603" s="39"/>
      <c r="F603" s="39"/>
      <c r="G603" s="39"/>
      <c r="H603" s="39"/>
      <c r="I603" s="39"/>
    </row>
    <row r="604">
      <c r="A604" s="41"/>
      <c r="B604" s="20"/>
      <c r="C604" s="39"/>
      <c r="D604" s="39"/>
      <c r="E604" s="39"/>
      <c r="F604" s="39"/>
      <c r="G604" s="39"/>
      <c r="H604" s="39"/>
      <c r="I604" s="39"/>
    </row>
    <row r="605">
      <c r="A605" s="41"/>
      <c r="B605" s="20"/>
      <c r="C605" s="39"/>
      <c r="D605" s="39"/>
      <c r="E605" s="39"/>
      <c r="F605" s="39"/>
      <c r="G605" s="39"/>
      <c r="H605" s="39"/>
      <c r="I605" s="39"/>
    </row>
    <row r="606">
      <c r="A606" s="41"/>
      <c r="B606" s="20"/>
      <c r="C606" s="39"/>
      <c r="D606" s="39"/>
      <c r="E606" s="39"/>
      <c r="F606" s="39"/>
      <c r="G606" s="39"/>
      <c r="H606" s="39"/>
      <c r="I606" s="39"/>
    </row>
    <row r="607">
      <c r="A607" s="41"/>
      <c r="B607" s="20"/>
      <c r="C607" s="39"/>
      <c r="D607" s="39"/>
      <c r="E607" s="39"/>
      <c r="F607" s="39"/>
      <c r="G607" s="39"/>
      <c r="H607" s="39"/>
      <c r="I607" s="39"/>
    </row>
    <row r="608">
      <c r="A608" s="41"/>
      <c r="B608" s="20"/>
      <c r="C608" s="39"/>
      <c r="D608" s="39"/>
      <c r="E608" s="39"/>
      <c r="F608" s="39"/>
      <c r="G608" s="39"/>
      <c r="H608" s="39"/>
      <c r="I608" s="39"/>
    </row>
    <row r="609">
      <c r="A609" s="41"/>
      <c r="B609" s="20"/>
      <c r="C609" s="39"/>
      <c r="D609" s="39"/>
      <c r="E609" s="39"/>
      <c r="F609" s="39"/>
      <c r="G609" s="39"/>
      <c r="H609" s="39"/>
      <c r="I609" s="39"/>
    </row>
    <row r="610">
      <c r="A610" s="41"/>
      <c r="B610" s="20"/>
      <c r="C610" s="39"/>
      <c r="D610" s="39"/>
      <c r="E610" s="39"/>
      <c r="F610" s="39"/>
      <c r="G610" s="39"/>
      <c r="H610" s="39"/>
      <c r="I610" s="39"/>
    </row>
    <row r="611">
      <c r="A611" s="41"/>
      <c r="B611" s="20"/>
      <c r="C611" s="39"/>
      <c r="D611" s="39"/>
      <c r="E611" s="39"/>
      <c r="F611" s="39"/>
      <c r="G611" s="39"/>
      <c r="H611" s="39"/>
      <c r="I611" s="39"/>
    </row>
    <row r="612">
      <c r="A612" s="41"/>
      <c r="B612" s="20"/>
      <c r="C612" s="39"/>
      <c r="D612" s="39"/>
      <c r="E612" s="39"/>
      <c r="F612" s="39"/>
      <c r="G612" s="39"/>
      <c r="H612" s="39"/>
      <c r="I612" s="39"/>
    </row>
    <row r="613">
      <c r="A613" s="41"/>
      <c r="B613" s="20"/>
      <c r="C613" s="39"/>
      <c r="D613" s="39"/>
      <c r="E613" s="39"/>
      <c r="F613" s="39"/>
      <c r="G613" s="39"/>
      <c r="H613" s="39"/>
      <c r="I613" s="39"/>
    </row>
    <row r="614">
      <c r="A614" s="41"/>
      <c r="B614" s="20"/>
      <c r="C614" s="39"/>
      <c r="D614" s="39"/>
      <c r="E614" s="39"/>
      <c r="F614" s="39"/>
      <c r="G614" s="39"/>
      <c r="H614" s="39"/>
      <c r="I614" s="39"/>
    </row>
    <row r="615">
      <c r="A615" s="41"/>
      <c r="B615" s="20"/>
      <c r="C615" s="39"/>
      <c r="D615" s="39"/>
      <c r="E615" s="39"/>
      <c r="F615" s="39"/>
      <c r="G615" s="39"/>
      <c r="H615" s="39"/>
      <c r="I615" s="39"/>
    </row>
    <row r="616">
      <c r="A616" s="41"/>
      <c r="B616" s="20"/>
      <c r="C616" s="39"/>
      <c r="D616" s="39"/>
      <c r="E616" s="39"/>
      <c r="F616" s="39"/>
      <c r="G616" s="39"/>
      <c r="H616" s="39"/>
      <c r="I616" s="39"/>
    </row>
    <row r="617">
      <c r="A617" s="41"/>
      <c r="B617" s="20"/>
      <c r="C617" s="39"/>
      <c r="D617" s="39"/>
      <c r="E617" s="39"/>
      <c r="F617" s="39"/>
      <c r="G617" s="39"/>
      <c r="H617" s="39"/>
      <c r="I617" s="39"/>
    </row>
    <row r="618">
      <c r="A618" s="41"/>
      <c r="B618" s="20"/>
      <c r="C618" s="39"/>
      <c r="D618" s="39"/>
      <c r="E618" s="39"/>
      <c r="F618" s="39"/>
      <c r="G618" s="39"/>
      <c r="H618" s="39"/>
      <c r="I618" s="39"/>
    </row>
    <row r="619">
      <c r="A619" s="41"/>
      <c r="B619" s="20"/>
      <c r="C619" s="39"/>
      <c r="D619" s="39"/>
      <c r="E619" s="39"/>
      <c r="F619" s="39"/>
      <c r="G619" s="39"/>
      <c r="H619" s="39"/>
      <c r="I619" s="39"/>
    </row>
    <row r="620">
      <c r="A620" s="41"/>
      <c r="B620" s="20"/>
      <c r="C620" s="39"/>
      <c r="D620" s="39"/>
      <c r="E620" s="39"/>
      <c r="F620" s="39"/>
      <c r="G620" s="39"/>
      <c r="H620" s="39"/>
      <c r="I620" s="39"/>
    </row>
    <row r="621">
      <c r="A621" s="41"/>
      <c r="B621" s="20"/>
      <c r="C621" s="39"/>
      <c r="D621" s="39"/>
      <c r="E621" s="39"/>
      <c r="F621" s="39"/>
      <c r="G621" s="39"/>
      <c r="H621" s="39"/>
      <c r="I621" s="39"/>
    </row>
    <row r="622">
      <c r="A622" s="41"/>
      <c r="B622" s="20"/>
      <c r="C622" s="39"/>
      <c r="D622" s="39"/>
      <c r="E622" s="39"/>
      <c r="F622" s="39"/>
      <c r="G622" s="39"/>
      <c r="H622" s="39"/>
      <c r="I622" s="39"/>
    </row>
    <row r="623">
      <c r="A623" s="41"/>
      <c r="B623" s="20"/>
      <c r="C623" s="39"/>
      <c r="D623" s="39"/>
      <c r="E623" s="39"/>
      <c r="F623" s="39"/>
      <c r="G623" s="39"/>
      <c r="H623" s="39"/>
      <c r="I623" s="39"/>
    </row>
    <row r="624">
      <c r="A624" s="41"/>
      <c r="B624" s="20"/>
      <c r="C624" s="39"/>
      <c r="D624" s="39"/>
      <c r="E624" s="39"/>
      <c r="F624" s="39"/>
      <c r="G624" s="39"/>
      <c r="H624" s="39"/>
      <c r="I624" s="39"/>
    </row>
    <row r="625">
      <c r="A625" s="41"/>
      <c r="B625" s="20"/>
      <c r="C625" s="39"/>
      <c r="D625" s="39"/>
      <c r="E625" s="39"/>
      <c r="F625" s="39"/>
      <c r="G625" s="39"/>
      <c r="H625" s="39"/>
      <c r="I625" s="39"/>
    </row>
    <row r="626">
      <c r="A626" s="41"/>
      <c r="B626" s="20"/>
      <c r="C626" s="39"/>
      <c r="D626" s="39"/>
      <c r="E626" s="39"/>
      <c r="F626" s="39"/>
      <c r="G626" s="39"/>
      <c r="H626" s="39"/>
      <c r="I626" s="39"/>
    </row>
    <row r="627">
      <c r="A627" s="41"/>
      <c r="B627" s="20"/>
      <c r="C627" s="39"/>
      <c r="D627" s="39"/>
      <c r="E627" s="39"/>
      <c r="F627" s="39"/>
      <c r="G627" s="39"/>
      <c r="H627" s="39"/>
      <c r="I627" s="39"/>
    </row>
    <row r="628">
      <c r="A628" s="41"/>
      <c r="B628" s="20"/>
      <c r="C628" s="39"/>
      <c r="D628" s="39"/>
      <c r="E628" s="39"/>
      <c r="F628" s="39"/>
      <c r="G628" s="39"/>
      <c r="H628" s="39"/>
      <c r="I628" s="39"/>
    </row>
    <row r="629">
      <c r="A629" s="41"/>
      <c r="B629" s="20"/>
      <c r="C629" s="39"/>
      <c r="D629" s="39"/>
      <c r="E629" s="39"/>
      <c r="F629" s="39"/>
      <c r="G629" s="39"/>
      <c r="H629" s="39"/>
      <c r="I629" s="39"/>
    </row>
    <row r="630">
      <c r="A630" s="41"/>
      <c r="B630" s="20"/>
      <c r="C630" s="39"/>
      <c r="D630" s="39"/>
      <c r="E630" s="39"/>
      <c r="F630" s="39"/>
      <c r="G630" s="39"/>
      <c r="H630" s="39"/>
      <c r="I630" s="39"/>
    </row>
    <row r="631">
      <c r="A631" s="41"/>
      <c r="B631" s="20"/>
      <c r="C631" s="39"/>
      <c r="D631" s="39"/>
      <c r="E631" s="39"/>
      <c r="F631" s="39"/>
      <c r="G631" s="39"/>
      <c r="H631" s="39"/>
      <c r="I631" s="39"/>
    </row>
    <row r="632">
      <c r="A632" s="41"/>
      <c r="B632" s="20"/>
      <c r="C632" s="39"/>
      <c r="D632" s="39"/>
      <c r="E632" s="39"/>
      <c r="F632" s="39"/>
      <c r="G632" s="39"/>
      <c r="H632" s="39"/>
      <c r="I632" s="39"/>
    </row>
    <row r="633">
      <c r="A633" s="41"/>
      <c r="B633" s="20"/>
      <c r="C633" s="39"/>
      <c r="D633" s="39"/>
      <c r="E633" s="39"/>
      <c r="F633" s="39"/>
      <c r="G633" s="39"/>
      <c r="H633" s="39"/>
      <c r="I633" s="39"/>
    </row>
    <row r="634">
      <c r="A634" s="41"/>
      <c r="B634" s="20"/>
      <c r="C634" s="39"/>
      <c r="D634" s="39"/>
      <c r="E634" s="39"/>
      <c r="F634" s="39"/>
      <c r="G634" s="39"/>
      <c r="H634" s="39"/>
      <c r="I634" s="39"/>
    </row>
    <row r="635">
      <c r="A635" s="41"/>
      <c r="B635" s="20"/>
      <c r="C635" s="39"/>
      <c r="D635" s="39"/>
      <c r="E635" s="39"/>
      <c r="F635" s="39"/>
      <c r="G635" s="39"/>
      <c r="H635" s="39"/>
      <c r="I635" s="39"/>
    </row>
    <row r="636">
      <c r="A636" s="41"/>
      <c r="B636" s="20"/>
      <c r="C636" s="39"/>
      <c r="D636" s="39"/>
      <c r="E636" s="39"/>
      <c r="F636" s="39"/>
      <c r="G636" s="39"/>
      <c r="H636" s="39"/>
      <c r="I636" s="39"/>
    </row>
    <row r="637">
      <c r="A637" s="41"/>
      <c r="B637" s="20"/>
      <c r="C637" s="39"/>
      <c r="D637" s="39"/>
      <c r="E637" s="39"/>
      <c r="F637" s="39"/>
      <c r="G637" s="39"/>
      <c r="H637" s="39"/>
      <c r="I637" s="39"/>
    </row>
    <row r="638">
      <c r="A638" s="41"/>
      <c r="B638" s="20"/>
      <c r="C638" s="39"/>
      <c r="D638" s="39"/>
      <c r="E638" s="39"/>
      <c r="F638" s="39"/>
      <c r="G638" s="39"/>
      <c r="H638" s="39"/>
      <c r="I638" s="39"/>
    </row>
    <row r="639">
      <c r="A639" s="41"/>
      <c r="B639" s="20"/>
      <c r="C639" s="39"/>
      <c r="D639" s="39"/>
      <c r="E639" s="39"/>
      <c r="F639" s="39"/>
      <c r="G639" s="39"/>
      <c r="H639" s="39"/>
      <c r="I639" s="39"/>
    </row>
    <row r="640">
      <c r="A640" s="41"/>
      <c r="B640" s="20"/>
      <c r="C640" s="39"/>
      <c r="D640" s="39"/>
      <c r="E640" s="39"/>
      <c r="F640" s="39"/>
      <c r="G640" s="39"/>
      <c r="H640" s="39"/>
      <c r="I640" s="39"/>
    </row>
    <row r="641">
      <c r="A641" s="41"/>
      <c r="B641" s="20"/>
      <c r="C641" s="39"/>
      <c r="D641" s="39"/>
      <c r="E641" s="39"/>
      <c r="F641" s="39"/>
      <c r="G641" s="39"/>
      <c r="H641" s="39"/>
      <c r="I641" s="39"/>
    </row>
    <row r="642">
      <c r="A642" s="41"/>
      <c r="B642" s="20"/>
      <c r="C642" s="39"/>
      <c r="D642" s="39"/>
      <c r="E642" s="39"/>
      <c r="F642" s="39"/>
      <c r="G642" s="39"/>
      <c r="H642" s="39"/>
      <c r="I642" s="39"/>
    </row>
    <row r="643">
      <c r="A643" s="41"/>
      <c r="B643" s="20"/>
      <c r="C643" s="39"/>
      <c r="D643" s="39"/>
      <c r="E643" s="39"/>
      <c r="F643" s="39"/>
      <c r="G643" s="39"/>
      <c r="H643" s="39"/>
      <c r="I643" s="39"/>
    </row>
    <row r="644">
      <c r="A644" s="41"/>
      <c r="B644" s="20"/>
      <c r="C644" s="39"/>
      <c r="D644" s="39"/>
      <c r="E644" s="39"/>
      <c r="F644" s="39"/>
      <c r="G644" s="39"/>
      <c r="H644" s="39"/>
      <c r="I644" s="39"/>
    </row>
    <row r="645">
      <c r="A645" s="41"/>
      <c r="B645" s="20"/>
      <c r="C645" s="39"/>
      <c r="D645" s="39"/>
      <c r="E645" s="39"/>
      <c r="F645" s="39"/>
      <c r="G645" s="39"/>
      <c r="H645" s="39"/>
      <c r="I645" s="39"/>
    </row>
    <row r="646">
      <c r="A646" s="41"/>
      <c r="B646" s="20"/>
      <c r="C646" s="39"/>
      <c r="D646" s="39"/>
      <c r="E646" s="39"/>
      <c r="F646" s="39"/>
      <c r="G646" s="39"/>
      <c r="H646" s="39"/>
      <c r="I646" s="39"/>
    </row>
    <row r="647">
      <c r="A647" s="41"/>
      <c r="B647" s="20"/>
      <c r="C647" s="39"/>
      <c r="D647" s="39"/>
      <c r="E647" s="39"/>
      <c r="F647" s="39"/>
      <c r="G647" s="39"/>
      <c r="H647" s="39"/>
      <c r="I647" s="39"/>
    </row>
    <row r="648">
      <c r="A648" s="41"/>
      <c r="B648" s="20"/>
      <c r="C648" s="39"/>
      <c r="D648" s="39"/>
      <c r="E648" s="39"/>
      <c r="F648" s="39"/>
      <c r="G648" s="39"/>
      <c r="H648" s="39"/>
      <c r="I648" s="39"/>
    </row>
    <row r="649">
      <c r="A649" s="41"/>
      <c r="B649" s="20"/>
      <c r="C649" s="39"/>
      <c r="D649" s="39"/>
      <c r="E649" s="39"/>
      <c r="F649" s="39"/>
      <c r="G649" s="39"/>
      <c r="H649" s="39"/>
      <c r="I649" s="39"/>
    </row>
    <row r="650">
      <c r="A650" s="41"/>
      <c r="B650" s="20"/>
      <c r="C650" s="39"/>
      <c r="D650" s="39"/>
      <c r="E650" s="39"/>
      <c r="F650" s="39"/>
      <c r="G650" s="39"/>
      <c r="H650" s="39"/>
      <c r="I650" s="39"/>
    </row>
    <row r="651">
      <c r="A651" s="41"/>
      <c r="B651" s="20"/>
      <c r="C651" s="39"/>
      <c r="D651" s="39"/>
      <c r="E651" s="39"/>
      <c r="F651" s="39"/>
      <c r="G651" s="39"/>
      <c r="H651" s="39"/>
      <c r="I651" s="39"/>
    </row>
    <row r="652">
      <c r="A652" s="41"/>
      <c r="B652" s="20"/>
      <c r="C652" s="39"/>
      <c r="D652" s="39"/>
      <c r="E652" s="39"/>
      <c r="F652" s="39"/>
      <c r="G652" s="39"/>
      <c r="H652" s="39"/>
      <c r="I652" s="39"/>
    </row>
    <row r="653">
      <c r="A653" s="41"/>
      <c r="B653" s="20"/>
      <c r="C653" s="39"/>
      <c r="D653" s="39"/>
      <c r="E653" s="39"/>
      <c r="F653" s="39"/>
      <c r="G653" s="39"/>
      <c r="H653" s="39"/>
      <c r="I653" s="39"/>
    </row>
    <row r="654">
      <c r="A654" s="41"/>
      <c r="B654" s="20"/>
      <c r="C654" s="39"/>
      <c r="D654" s="39"/>
      <c r="E654" s="39"/>
      <c r="F654" s="39"/>
      <c r="G654" s="39"/>
      <c r="H654" s="39"/>
      <c r="I654" s="39"/>
    </row>
    <row r="655">
      <c r="A655" s="41"/>
      <c r="B655" s="20"/>
      <c r="C655" s="39"/>
      <c r="D655" s="39"/>
      <c r="E655" s="39"/>
      <c r="F655" s="39"/>
      <c r="G655" s="39"/>
      <c r="H655" s="39"/>
      <c r="I655" s="39"/>
    </row>
    <row r="656">
      <c r="A656" s="41"/>
      <c r="B656" s="20"/>
      <c r="C656" s="39"/>
      <c r="D656" s="39"/>
      <c r="E656" s="39"/>
      <c r="F656" s="39"/>
      <c r="G656" s="39"/>
      <c r="H656" s="39"/>
      <c r="I656" s="39"/>
    </row>
    <row r="657">
      <c r="A657" s="41"/>
      <c r="B657" s="20"/>
      <c r="C657" s="39"/>
      <c r="D657" s="39"/>
      <c r="E657" s="39"/>
      <c r="F657" s="39"/>
      <c r="G657" s="39"/>
      <c r="H657" s="39"/>
      <c r="I657" s="39"/>
    </row>
    <row r="658">
      <c r="A658" s="41"/>
      <c r="B658" s="20"/>
      <c r="C658" s="39"/>
      <c r="D658" s="39"/>
      <c r="E658" s="39"/>
      <c r="F658" s="39"/>
      <c r="G658" s="39"/>
      <c r="H658" s="39"/>
      <c r="I658" s="39"/>
    </row>
    <row r="659">
      <c r="A659" s="41"/>
      <c r="B659" s="20"/>
      <c r="C659" s="39"/>
      <c r="D659" s="39"/>
      <c r="E659" s="39"/>
      <c r="F659" s="39"/>
      <c r="G659" s="39"/>
      <c r="H659" s="39"/>
      <c r="I659" s="39"/>
    </row>
    <row r="660">
      <c r="A660" s="41"/>
      <c r="B660" s="20"/>
      <c r="C660" s="39"/>
      <c r="D660" s="39"/>
      <c r="E660" s="39"/>
      <c r="F660" s="39"/>
      <c r="G660" s="39"/>
      <c r="H660" s="39"/>
      <c r="I660" s="39"/>
    </row>
    <row r="661">
      <c r="A661" s="41"/>
      <c r="B661" s="20"/>
      <c r="C661" s="39"/>
      <c r="D661" s="39"/>
      <c r="E661" s="39"/>
      <c r="F661" s="39"/>
      <c r="G661" s="39"/>
      <c r="H661" s="39"/>
      <c r="I661" s="39"/>
    </row>
    <row r="662">
      <c r="A662" s="41"/>
      <c r="B662" s="20"/>
      <c r="C662" s="39"/>
      <c r="D662" s="39"/>
      <c r="E662" s="39"/>
      <c r="F662" s="39"/>
      <c r="G662" s="39"/>
      <c r="H662" s="39"/>
      <c r="I662" s="39"/>
    </row>
    <row r="663">
      <c r="A663" s="41"/>
      <c r="B663" s="20"/>
      <c r="C663" s="39"/>
      <c r="D663" s="39"/>
      <c r="E663" s="39"/>
      <c r="F663" s="39"/>
      <c r="G663" s="39"/>
      <c r="H663" s="39"/>
      <c r="I663" s="39"/>
    </row>
    <row r="664">
      <c r="A664" s="41"/>
      <c r="B664" s="20"/>
      <c r="C664" s="39"/>
      <c r="D664" s="39"/>
      <c r="E664" s="39"/>
      <c r="F664" s="39"/>
      <c r="G664" s="39"/>
      <c r="H664" s="39"/>
      <c r="I664" s="39"/>
    </row>
    <row r="665">
      <c r="A665" s="41"/>
      <c r="B665" s="20"/>
      <c r="C665" s="39"/>
      <c r="D665" s="39"/>
      <c r="E665" s="39"/>
      <c r="F665" s="39"/>
      <c r="G665" s="39"/>
      <c r="H665" s="39"/>
      <c r="I665" s="39"/>
    </row>
    <row r="666">
      <c r="A666" s="41"/>
      <c r="B666" s="20"/>
      <c r="C666" s="39"/>
      <c r="D666" s="39"/>
      <c r="E666" s="39"/>
      <c r="F666" s="39"/>
      <c r="G666" s="39"/>
      <c r="H666" s="39"/>
      <c r="I666" s="39"/>
    </row>
    <row r="667">
      <c r="A667" s="41"/>
      <c r="B667" s="20"/>
      <c r="C667" s="39"/>
      <c r="D667" s="39"/>
      <c r="E667" s="39"/>
      <c r="F667" s="39"/>
      <c r="G667" s="39"/>
      <c r="H667" s="39"/>
      <c r="I667" s="39"/>
    </row>
    <row r="668">
      <c r="A668" s="41"/>
      <c r="B668" s="20"/>
      <c r="C668" s="39"/>
      <c r="D668" s="39"/>
      <c r="E668" s="39"/>
      <c r="F668" s="39"/>
      <c r="G668" s="39"/>
      <c r="H668" s="39"/>
      <c r="I668" s="39"/>
    </row>
    <row r="669">
      <c r="A669" s="41"/>
      <c r="B669" s="20"/>
      <c r="C669" s="39"/>
      <c r="D669" s="39"/>
      <c r="E669" s="39"/>
      <c r="F669" s="39"/>
      <c r="G669" s="39"/>
      <c r="H669" s="39"/>
      <c r="I669" s="39"/>
    </row>
    <row r="670">
      <c r="A670" s="41"/>
      <c r="B670" s="20"/>
      <c r="C670" s="39"/>
      <c r="D670" s="39"/>
      <c r="E670" s="39"/>
      <c r="F670" s="39"/>
      <c r="G670" s="39"/>
      <c r="H670" s="39"/>
      <c r="I670" s="39"/>
    </row>
    <row r="671">
      <c r="A671" s="41"/>
      <c r="B671" s="20"/>
      <c r="C671" s="39"/>
      <c r="D671" s="39"/>
      <c r="E671" s="39"/>
      <c r="F671" s="39"/>
      <c r="G671" s="39"/>
      <c r="H671" s="39"/>
      <c r="I671" s="39"/>
    </row>
    <row r="672">
      <c r="A672" s="41"/>
      <c r="B672" s="20"/>
      <c r="C672" s="39"/>
      <c r="D672" s="39"/>
      <c r="E672" s="39"/>
      <c r="F672" s="39"/>
      <c r="G672" s="39"/>
      <c r="H672" s="39"/>
      <c r="I672" s="39"/>
    </row>
    <row r="673">
      <c r="A673" s="41"/>
      <c r="B673" s="20"/>
      <c r="C673" s="39"/>
      <c r="D673" s="39"/>
      <c r="E673" s="39"/>
      <c r="F673" s="39"/>
      <c r="G673" s="39"/>
      <c r="H673" s="39"/>
      <c r="I673" s="39"/>
    </row>
    <row r="674">
      <c r="A674" s="41"/>
      <c r="B674" s="20"/>
      <c r="C674" s="39"/>
      <c r="D674" s="39"/>
      <c r="E674" s="39"/>
      <c r="F674" s="39"/>
      <c r="G674" s="39"/>
      <c r="H674" s="39"/>
      <c r="I674" s="39"/>
    </row>
    <row r="675">
      <c r="A675" s="41"/>
      <c r="B675" s="20"/>
      <c r="C675" s="39"/>
      <c r="D675" s="39"/>
      <c r="E675" s="39"/>
      <c r="F675" s="39"/>
      <c r="G675" s="39"/>
      <c r="H675" s="39"/>
      <c r="I675" s="39"/>
    </row>
    <row r="676">
      <c r="A676" s="41"/>
      <c r="B676" s="20"/>
      <c r="C676" s="39"/>
      <c r="D676" s="39"/>
      <c r="E676" s="39"/>
      <c r="F676" s="39"/>
      <c r="G676" s="39"/>
      <c r="H676" s="39"/>
      <c r="I676" s="39"/>
    </row>
    <row r="677">
      <c r="A677" s="41"/>
      <c r="B677" s="20"/>
      <c r="C677" s="39"/>
      <c r="D677" s="39"/>
      <c r="E677" s="39"/>
      <c r="F677" s="39"/>
      <c r="G677" s="39"/>
      <c r="H677" s="39"/>
      <c r="I677" s="39"/>
    </row>
    <row r="678">
      <c r="A678" s="41"/>
      <c r="B678" s="20"/>
      <c r="C678" s="39"/>
      <c r="D678" s="39"/>
      <c r="E678" s="39"/>
      <c r="F678" s="39"/>
      <c r="G678" s="39"/>
      <c r="H678" s="39"/>
      <c r="I678" s="39"/>
    </row>
    <row r="679">
      <c r="A679" s="41"/>
      <c r="B679" s="20"/>
      <c r="C679" s="39"/>
      <c r="D679" s="39"/>
      <c r="E679" s="39"/>
      <c r="F679" s="39"/>
      <c r="G679" s="39"/>
      <c r="H679" s="39"/>
      <c r="I679" s="39"/>
    </row>
    <row r="680">
      <c r="A680" s="41"/>
      <c r="B680" s="20"/>
      <c r="C680" s="39"/>
      <c r="D680" s="39"/>
      <c r="E680" s="39"/>
      <c r="F680" s="39"/>
      <c r="G680" s="39"/>
      <c r="H680" s="39"/>
      <c r="I680" s="39"/>
    </row>
    <row r="681">
      <c r="A681" s="41"/>
      <c r="B681" s="20"/>
      <c r="C681" s="39"/>
      <c r="D681" s="39"/>
      <c r="E681" s="39"/>
      <c r="F681" s="39"/>
      <c r="G681" s="39"/>
      <c r="H681" s="39"/>
      <c r="I681" s="39"/>
    </row>
    <row r="682">
      <c r="A682" s="41"/>
      <c r="B682" s="20"/>
      <c r="C682" s="39"/>
      <c r="D682" s="39"/>
      <c r="E682" s="39"/>
      <c r="F682" s="39"/>
      <c r="G682" s="39"/>
      <c r="H682" s="39"/>
      <c r="I682" s="39"/>
    </row>
    <row r="683">
      <c r="A683" s="41"/>
      <c r="B683" s="20"/>
      <c r="C683" s="39"/>
      <c r="D683" s="39"/>
      <c r="E683" s="39"/>
      <c r="F683" s="39"/>
      <c r="G683" s="39"/>
      <c r="H683" s="39"/>
      <c r="I683" s="39"/>
    </row>
    <row r="684">
      <c r="A684" s="41"/>
      <c r="B684" s="20"/>
      <c r="C684" s="39"/>
      <c r="D684" s="39"/>
      <c r="E684" s="39"/>
      <c r="F684" s="39"/>
      <c r="G684" s="39"/>
      <c r="H684" s="39"/>
      <c r="I684" s="39"/>
    </row>
    <row r="685">
      <c r="A685" s="41"/>
      <c r="B685" s="20"/>
      <c r="C685" s="39"/>
      <c r="D685" s="39"/>
      <c r="E685" s="39"/>
      <c r="F685" s="39"/>
      <c r="G685" s="39"/>
      <c r="H685" s="39"/>
      <c r="I685" s="39"/>
    </row>
    <row r="686">
      <c r="A686" s="41"/>
      <c r="B686" s="20"/>
      <c r="C686" s="39"/>
      <c r="D686" s="39"/>
      <c r="E686" s="39"/>
      <c r="F686" s="39"/>
      <c r="G686" s="39"/>
      <c r="H686" s="39"/>
      <c r="I686" s="39"/>
    </row>
    <row r="687">
      <c r="A687" s="41"/>
      <c r="B687" s="20"/>
      <c r="C687" s="39"/>
      <c r="D687" s="39"/>
      <c r="E687" s="39"/>
      <c r="F687" s="39"/>
      <c r="G687" s="39"/>
      <c r="H687" s="39"/>
      <c r="I687" s="39"/>
    </row>
    <row r="688">
      <c r="A688" s="41"/>
      <c r="B688" s="20"/>
      <c r="C688" s="39"/>
      <c r="D688" s="39"/>
      <c r="E688" s="39"/>
      <c r="F688" s="39"/>
      <c r="G688" s="39"/>
      <c r="H688" s="39"/>
      <c r="I688" s="39"/>
    </row>
    <row r="689">
      <c r="A689" s="41"/>
      <c r="B689" s="20"/>
      <c r="C689" s="39"/>
      <c r="D689" s="39"/>
      <c r="E689" s="39"/>
      <c r="F689" s="39"/>
      <c r="G689" s="39"/>
      <c r="H689" s="39"/>
      <c r="I689" s="39"/>
    </row>
    <row r="690">
      <c r="A690" s="41"/>
      <c r="B690" s="20"/>
      <c r="C690" s="39"/>
      <c r="D690" s="39"/>
      <c r="E690" s="39"/>
      <c r="F690" s="39"/>
      <c r="G690" s="39"/>
      <c r="H690" s="39"/>
      <c r="I690" s="39"/>
    </row>
    <row r="691">
      <c r="A691" s="41"/>
      <c r="B691" s="20"/>
      <c r="C691" s="39"/>
      <c r="D691" s="39"/>
      <c r="E691" s="39"/>
      <c r="F691" s="39"/>
      <c r="G691" s="39"/>
      <c r="H691" s="39"/>
      <c r="I691" s="39"/>
    </row>
    <row r="692">
      <c r="A692" s="41"/>
      <c r="B692" s="20"/>
      <c r="C692" s="39"/>
      <c r="D692" s="39"/>
      <c r="E692" s="39"/>
      <c r="F692" s="39"/>
      <c r="G692" s="39"/>
      <c r="H692" s="39"/>
      <c r="I692" s="39"/>
    </row>
    <row r="693">
      <c r="A693" s="41"/>
      <c r="B693" s="20"/>
      <c r="C693" s="39"/>
      <c r="D693" s="39"/>
      <c r="E693" s="39"/>
      <c r="F693" s="39"/>
      <c r="G693" s="39"/>
      <c r="H693" s="39"/>
      <c r="I693" s="39"/>
    </row>
    <row r="694">
      <c r="A694" s="41"/>
      <c r="B694" s="20"/>
      <c r="C694" s="39"/>
      <c r="D694" s="39"/>
      <c r="E694" s="39"/>
      <c r="F694" s="39"/>
      <c r="G694" s="39"/>
      <c r="H694" s="39"/>
      <c r="I694" s="39"/>
    </row>
    <row r="695">
      <c r="A695" s="41"/>
      <c r="B695" s="20"/>
      <c r="C695" s="39"/>
      <c r="D695" s="39"/>
      <c r="E695" s="39"/>
      <c r="F695" s="39"/>
      <c r="G695" s="39"/>
      <c r="H695" s="39"/>
      <c r="I695" s="39"/>
    </row>
    <row r="696">
      <c r="A696" s="41"/>
      <c r="B696" s="20"/>
      <c r="C696" s="39"/>
      <c r="D696" s="39"/>
      <c r="E696" s="39"/>
      <c r="F696" s="39"/>
      <c r="G696" s="39"/>
      <c r="H696" s="39"/>
      <c r="I696" s="39"/>
    </row>
    <row r="697">
      <c r="A697" s="41"/>
      <c r="B697" s="20"/>
      <c r="C697" s="39"/>
      <c r="D697" s="39"/>
      <c r="E697" s="39"/>
      <c r="F697" s="39"/>
      <c r="G697" s="39"/>
      <c r="H697" s="39"/>
      <c r="I697" s="39"/>
    </row>
    <row r="698">
      <c r="A698" s="41"/>
      <c r="B698" s="20"/>
      <c r="C698" s="39"/>
      <c r="D698" s="39"/>
      <c r="E698" s="39"/>
      <c r="F698" s="39"/>
      <c r="G698" s="39"/>
      <c r="H698" s="39"/>
      <c r="I698" s="39"/>
    </row>
    <row r="699">
      <c r="A699" s="41"/>
      <c r="B699" s="20"/>
      <c r="C699" s="39"/>
      <c r="D699" s="39"/>
      <c r="E699" s="39"/>
      <c r="F699" s="39"/>
      <c r="G699" s="39"/>
      <c r="H699" s="39"/>
      <c r="I699" s="39"/>
    </row>
    <row r="700">
      <c r="A700" s="41"/>
      <c r="B700" s="20"/>
      <c r="C700" s="39"/>
      <c r="D700" s="39"/>
      <c r="E700" s="39"/>
      <c r="F700" s="39"/>
      <c r="G700" s="39"/>
      <c r="H700" s="39"/>
      <c r="I700" s="39"/>
    </row>
    <row r="701">
      <c r="A701" s="41"/>
      <c r="B701" s="20"/>
      <c r="C701" s="39"/>
      <c r="D701" s="39"/>
      <c r="E701" s="39"/>
      <c r="F701" s="39"/>
      <c r="G701" s="39"/>
      <c r="H701" s="39"/>
      <c r="I701" s="39"/>
    </row>
    <row r="702">
      <c r="A702" s="41"/>
      <c r="B702" s="20"/>
      <c r="C702" s="39"/>
      <c r="D702" s="39"/>
      <c r="E702" s="39"/>
      <c r="F702" s="39"/>
      <c r="G702" s="39"/>
      <c r="H702" s="39"/>
      <c r="I702" s="39"/>
    </row>
    <row r="703">
      <c r="A703" s="41"/>
      <c r="B703" s="20"/>
      <c r="C703" s="39"/>
      <c r="D703" s="39"/>
      <c r="E703" s="39"/>
      <c r="F703" s="39"/>
      <c r="G703" s="39"/>
      <c r="H703" s="39"/>
      <c r="I703" s="39"/>
    </row>
    <row r="704">
      <c r="A704" s="41"/>
      <c r="B704" s="20"/>
      <c r="C704" s="39"/>
      <c r="D704" s="39"/>
      <c r="E704" s="39"/>
      <c r="F704" s="39"/>
      <c r="G704" s="39"/>
      <c r="H704" s="39"/>
      <c r="I704" s="39"/>
    </row>
    <row r="705">
      <c r="A705" s="41"/>
      <c r="B705" s="20"/>
      <c r="C705" s="39"/>
      <c r="D705" s="39"/>
      <c r="E705" s="39"/>
      <c r="F705" s="39"/>
      <c r="G705" s="39"/>
      <c r="H705" s="39"/>
      <c r="I705" s="39"/>
    </row>
    <row r="706">
      <c r="A706" s="41"/>
      <c r="B706" s="20"/>
      <c r="C706" s="39"/>
      <c r="D706" s="39"/>
      <c r="E706" s="39"/>
      <c r="F706" s="39"/>
      <c r="G706" s="39"/>
      <c r="H706" s="39"/>
      <c r="I706" s="39"/>
    </row>
    <row r="707">
      <c r="A707" s="41"/>
      <c r="B707" s="20"/>
      <c r="C707" s="39"/>
      <c r="D707" s="39"/>
      <c r="E707" s="39"/>
      <c r="F707" s="39"/>
      <c r="G707" s="39"/>
      <c r="H707" s="39"/>
      <c r="I707" s="39"/>
    </row>
    <row r="708">
      <c r="A708" s="41"/>
      <c r="B708" s="20"/>
      <c r="C708" s="39"/>
      <c r="D708" s="39"/>
      <c r="E708" s="39"/>
      <c r="F708" s="39"/>
      <c r="G708" s="39"/>
      <c r="H708" s="39"/>
      <c r="I708" s="39"/>
    </row>
    <row r="709">
      <c r="A709" s="41"/>
      <c r="B709" s="20"/>
      <c r="C709" s="39"/>
      <c r="D709" s="39"/>
      <c r="E709" s="39"/>
      <c r="F709" s="39"/>
      <c r="G709" s="39"/>
      <c r="H709" s="39"/>
      <c r="I709" s="39"/>
    </row>
    <row r="710">
      <c r="A710" s="41"/>
      <c r="B710" s="20"/>
      <c r="C710" s="39"/>
      <c r="D710" s="39"/>
      <c r="E710" s="39"/>
      <c r="F710" s="39"/>
      <c r="G710" s="39"/>
      <c r="H710" s="39"/>
      <c r="I710" s="39"/>
    </row>
    <row r="711">
      <c r="A711" s="41"/>
      <c r="B711" s="20"/>
      <c r="C711" s="39"/>
      <c r="D711" s="39"/>
      <c r="E711" s="39"/>
      <c r="F711" s="39"/>
      <c r="G711" s="39"/>
      <c r="H711" s="39"/>
      <c r="I711" s="39"/>
    </row>
    <row r="712">
      <c r="A712" s="41"/>
      <c r="B712" s="20"/>
      <c r="C712" s="39"/>
      <c r="D712" s="39"/>
      <c r="E712" s="39"/>
      <c r="F712" s="39"/>
      <c r="G712" s="39"/>
      <c r="H712" s="39"/>
      <c r="I712" s="39"/>
    </row>
    <row r="713">
      <c r="A713" s="41"/>
      <c r="B713" s="20"/>
      <c r="C713" s="39"/>
      <c r="D713" s="39"/>
      <c r="E713" s="39"/>
      <c r="F713" s="39"/>
      <c r="G713" s="39"/>
      <c r="H713" s="39"/>
      <c r="I713" s="39"/>
    </row>
    <row r="714">
      <c r="A714" s="41"/>
      <c r="B714" s="20"/>
      <c r="C714" s="39"/>
      <c r="D714" s="39"/>
      <c r="E714" s="39"/>
      <c r="F714" s="39"/>
      <c r="G714" s="39"/>
      <c r="H714" s="39"/>
      <c r="I714" s="39"/>
    </row>
    <row r="715">
      <c r="A715" s="41"/>
      <c r="B715" s="20"/>
      <c r="C715" s="39"/>
      <c r="D715" s="39"/>
      <c r="E715" s="39"/>
      <c r="F715" s="39"/>
      <c r="G715" s="39"/>
      <c r="H715" s="39"/>
      <c r="I715" s="39"/>
    </row>
    <row r="716">
      <c r="A716" s="41"/>
      <c r="B716" s="20"/>
      <c r="C716" s="39"/>
      <c r="D716" s="39"/>
      <c r="E716" s="39"/>
      <c r="F716" s="39"/>
      <c r="G716" s="39"/>
      <c r="H716" s="39"/>
      <c r="I716" s="39"/>
    </row>
    <row r="717">
      <c r="A717" s="41"/>
      <c r="B717" s="20"/>
      <c r="C717" s="39"/>
      <c r="D717" s="39"/>
      <c r="E717" s="39"/>
      <c r="F717" s="39"/>
      <c r="G717" s="39"/>
      <c r="H717" s="39"/>
      <c r="I717" s="39"/>
    </row>
    <row r="718">
      <c r="A718" s="41"/>
      <c r="B718" s="20"/>
      <c r="C718" s="39"/>
      <c r="D718" s="39"/>
      <c r="E718" s="39"/>
      <c r="F718" s="39"/>
      <c r="G718" s="39"/>
      <c r="H718" s="39"/>
      <c r="I718" s="39"/>
    </row>
    <row r="719">
      <c r="A719" s="41"/>
      <c r="B719" s="20"/>
      <c r="C719" s="39"/>
      <c r="D719" s="39"/>
      <c r="E719" s="39"/>
      <c r="F719" s="39"/>
      <c r="G719" s="39"/>
      <c r="H719" s="39"/>
      <c r="I719" s="39"/>
    </row>
    <row r="720">
      <c r="A720" s="41"/>
      <c r="B720" s="20"/>
      <c r="C720" s="39"/>
      <c r="D720" s="39"/>
      <c r="E720" s="39"/>
      <c r="F720" s="39"/>
      <c r="G720" s="39"/>
      <c r="H720" s="39"/>
      <c r="I720" s="39"/>
    </row>
    <row r="721">
      <c r="A721" s="41"/>
      <c r="B721" s="20"/>
      <c r="C721" s="39"/>
      <c r="D721" s="39"/>
      <c r="E721" s="39"/>
      <c r="F721" s="39"/>
      <c r="G721" s="39"/>
      <c r="H721" s="39"/>
      <c r="I721" s="39"/>
    </row>
    <row r="722">
      <c r="A722" s="41"/>
      <c r="B722" s="20"/>
      <c r="C722" s="39"/>
      <c r="D722" s="39"/>
      <c r="E722" s="39"/>
      <c r="F722" s="39"/>
      <c r="G722" s="39"/>
      <c r="H722" s="39"/>
      <c r="I722" s="39"/>
    </row>
    <row r="723">
      <c r="A723" s="41"/>
      <c r="B723" s="20"/>
      <c r="C723" s="39"/>
      <c r="D723" s="39"/>
      <c r="E723" s="39"/>
      <c r="F723" s="39"/>
      <c r="G723" s="39"/>
      <c r="H723" s="39"/>
      <c r="I723" s="39"/>
    </row>
    <row r="724">
      <c r="A724" s="41"/>
      <c r="B724" s="20"/>
      <c r="C724" s="39"/>
      <c r="D724" s="39"/>
      <c r="E724" s="39"/>
      <c r="F724" s="39"/>
      <c r="G724" s="39"/>
      <c r="H724" s="39"/>
      <c r="I724" s="39"/>
    </row>
    <row r="725">
      <c r="A725" s="41"/>
      <c r="B725" s="20"/>
      <c r="C725" s="39"/>
      <c r="D725" s="39"/>
      <c r="E725" s="39"/>
      <c r="F725" s="39"/>
      <c r="G725" s="39"/>
      <c r="H725" s="39"/>
      <c r="I725" s="39"/>
    </row>
    <row r="726">
      <c r="A726" s="41"/>
      <c r="B726" s="20"/>
      <c r="C726" s="39"/>
      <c r="D726" s="39"/>
      <c r="E726" s="39"/>
      <c r="F726" s="39"/>
      <c r="G726" s="39"/>
      <c r="H726" s="39"/>
      <c r="I726" s="39"/>
    </row>
    <row r="727">
      <c r="A727" s="41"/>
      <c r="B727" s="20"/>
      <c r="C727" s="39"/>
      <c r="D727" s="39"/>
      <c r="E727" s="39"/>
      <c r="F727" s="39"/>
      <c r="G727" s="39"/>
      <c r="H727" s="39"/>
      <c r="I727" s="39"/>
    </row>
    <row r="728">
      <c r="A728" s="41"/>
      <c r="B728" s="20"/>
      <c r="C728" s="39"/>
      <c r="D728" s="39"/>
      <c r="E728" s="39"/>
      <c r="F728" s="39"/>
      <c r="G728" s="39"/>
      <c r="H728" s="39"/>
      <c r="I728" s="39"/>
    </row>
    <row r="729">
      <c r="A729" s="41"/>
      <c r="B729" s="20"/>
      <c r="C729" s="39"/>
      <c r="D729" s="39"/>
      <c r="E729" s="39"/>
      <c r="F729" s="39"/>
      <c r="G729" s="39"/>
      <c r="H729" s="39"/>
      <c r="I729" s="39"/>
    </row>
    <row r="730">
      <c r="A730" s="41"/>
      <c r="B730" s="20"/>
      <c r="C730" s="39"/>
      <c r="D730" s="39"/>
      <c r="E730" s="39"/>
      <c r="F730" s="39"/>
      <c r="G730" s="39"/>
      <c r="H730" s="39"/>
      <c r="I730" s="39"/>
    </row>
    <row r="731">
      <c r="A731" s="41"/>
      <c r="B731" s="20"/>
      <c r="C731" s="39"/>
      <c r="D731" s="39"/>
      <c r="E731" s="39"/>
      <c r="F731" s="39"/>
      <c r="G731" s="39"/>
      <c r="H731" s="39"/>
      <c r="I731" s="39"/>
    </row>
    <row r="732">
      <c r="A732" s="41"/>
      <c r="B732" s="20"/>
      <c r="C732" s="39"/>
      <c r="D732" s="39"/>
      <c r="E732" s="39"/>
      <c r="F732" s="39"/>
      <c r="G732" s="39"/>
      <c r="H732" s="39"/>
      <c r="I732" s="39"/>
    </row>
    <row r="733">
      <c r="A733" s="41"/>
      <c r="B733" s="20"/>
      <c r="C733" s="39"/>
      <c r="D733" s="39"/>
      <c r="E733" s="39"/>
      <c r="F733" s="39"/>
      <c r="G733" s="39"/>
      <c r="H733" s="39"/>
      <c r="I733" s="39"/>
    </row>
    <row r="734">
      <c r="A734" s="41"/>
      <c r="B734" s="20"/>
      <c r="C734" s="39"/>
      <c r="D734" s="39"/>
      <c r="E734" s="39"/>
      <c r="F734" s="39"/>
      <c r="G734" s="39"/>
      <c r="H734" s="39"/>
      <c r="I734" s="39"/>
    </row>
    <row r="735">
      <c r="A735" s="41"/>
      <c r="B735" s="20"/>
      <c r="C735" s="39"/>
      <c r="D735" s="39"/>
      <c r="E735" s="39"/>
      <c r="F735" s="39"/>
      <c r="G735" s="39"/>
      <c r="H735" s="39"/>
      <c r="I735" s="39"/>
    </row>
    <row r="736">
      <c r="A736" s="41"/>
      <c r="B736" s="20"/>
      <c r="C736" s="39"/>
      <c r="D736" s="39"/>
      <c r="E736" s="39"/>
      <c r="F736" s="39"/>
      <c r="G736" s="39"/>
      <c r="H736" s="39"/>
      <c r="I736" s="39"/>
    </row>
    <row r="737">
      <c r="A737" s="41"/>
      <c r="B737" s="20"/>
      <c r="C737" s="39"/>
      <c r="D737" s="39"/>
      <c r="E737" s="39"/>
      <c r="F737" s="39"/>
      <c r="G737" s="39"/>
      <c r="H737" s="39"/>
      <c r="I737" s="39"/>
    </row>
    <row r="738">
      <c r="A738" s="41"/>
      <c r="B738" s="20"/>
      <c r="C738" s="39"/>
      <c r="D738" s="39"/>
      <c r="E738" s="39"/>
      <c r="F738" s="39"/>
      <c r="G738" s="39"/>
      <c r="H738" s="39"/>
      <c r="I738" s="39"/>
    </row>
    <row r="739">
      <c r="A739" s="41"/>
      <c r="B739" s="20"/>
      <c r="C739" s="39"/>
      <c r="D739" s="39"/>
      <c r="E739" s="39"/>
      <c r="F739" s="39"/>
      <c r="G739" s="39"/>
      <c r="H739" s="39"/>
      <c r="I739" s="39"/>
    </row>
    <row r="740">
      <c r="A740" s="41"/>
      <c r="B740" s="20"/>
      <c r="C740" s="39"/>
      <c r="D740" s="39"/>
      <c r="E740" s="39"/>
      <c r="F740" s="39"/>
      <c r="G740" s="39"/>
      <c r="H740" s="39"/>
      <c r="I740" s="39"/>
    </row>
    <row r="741">
      <c r="A741" s="41"/>
      <c r="B741" s="20"/>
      <c r="C741" s="39"/>
      <c r="D741" s="39"/>
      <c r="E741" s="39"/>
      <c r="F741" s="39"/>
      <c r="G741" s="39"/>
      <c r="H741" s="39"/>
      <c r="I741" s="39"/>
    </row>
    <row r="742">
      <c r="A742" s="41"/>
      <c r="B742" s="20"/>
      <c r="C742" s="39"/>
      <c r="D742" s="39"/>
      <c r="E742" s="39"/>
      <c r="F742" s="39"/>
      <c r="G742" s="39"/>
      <c r="H742" s="39"/>
      <c r="I742" s="39"/>
    </row>
    <row r="743">
      <c r="A743" s="41"/>
      <c r="B743" s="20"/>
      <c r="C743" s="39"/>
      <c r="D743" s="39"/>
      <c r="E743" s="39"/>
      <c r="F743" s="39"/>
      <c r="G743" s="39"/>
      <c r="H743" s="39"/>
      <c r="I743" s="39"/>
    </row>
    <row r="744">
      <c r="A744" s="41"/>
      <c r="B744" s="20"/>
      <c r="C744" s="39"/>
      <c r="D744" s="39"/>
      <c r="E744" s="39"/>
      <c r="F744" s="39"/>
      <c r="G744" s="39"/>
      <c r="H744" s="39"/>
      <c r="I744" s="39"/>
    </row>
    <row r="745">
      <c r="A745" s="41"/>
      <c r="B745" s="20"/>
      <c r="C745" s="39"/>
      <c r="D745" s="39"/>
      <c r="E745" s="39"/>
      <c r="F745" s="39"/>
      <c r="G745" s="39"/>
      <c r="H745" s="39"/>
      <c r="I745" s="39"/>
    </row>
    <row r="746">
      <c r="A746" s="41"/>
      <c r="B746" s="20"/>
      <c r="C746" s="39"/>
      <c r="D746" s="39"/>
      <c r="E746" s="39"/>
      <c r="F746" s="39"/>
      <c r="G746" s="39"/>
      <c r="H746" s="39"/>
      <c r="I746" s="39"/>
    </row>
    <row r="747">
      <c r="A747" s="41"/>
      <c r="B747" s="20"/>
      <c r="C747" s="39"/>
      <c r="D747" s="39"/>
      <c r="E747" s="39"/>
      <c r="F747" s="39"/>
      <c r="G747" s="39"/>
      <c r="H747" s="39"/>
      <c r="I747" s="39"/>
    </row>
    <row r="748">
      <c r="A748" s="41"/>
      <c r="B748" s="20"/>
      <c r="C748" s="39"/>
      <c r="D748" s="39"/>
      <c r="E748" s="39"/>
      <c r="F748" s="39"/>
      <c r="G748" s="39"/>
      <c r="H748" s="39"/>
      <c r="I748" s="39"/>
    </row>
    <row r="749">
      <c r="A749" s="41"/>
      <c r="B749" s="20"/>
      <c r="C749" s="39"/>
      <c r="D749" s="39"/>
      <c r="E749" s="39"/>
      <c r="F749" s="39"/>
      <c r="G749" s="39"/>
      <c r="H749" s="39"/>
      <c r="I749" s="39"/>
    </row>
    <row r="750">
      <c r="A750" s="41"/>
      <c r="B750" s="20"/>
      <c r="C750" s="39"/>
      <c r="D750" s="39"/>
      <c r="E750" s="39"/>
      <c r="F750" s="39"/>
      <c r="G750" s="39"/>
      <c r="H750" s="39"/>
      <c r="I750" s="39"/>
    </row>
    <row r="751">
      <c r="A751" s="41"/>
      <c r="B751" s="20"/>
      <c r="C751" s="39"/>
      <c r="D751" s="39"/>
      <c r="E751" s="39"/>
      <c r="F751" s="39"/>
      <c r="G751" s="39"/>
      <c r="H751" s="39"/>
      <c r="I751" s="39"/>
    </row>
    <row r="752">
      <c r="A752" s="41"/>
      <c r="B752" s="20"/>
      <c r="C752" s="39"/>
      <c r="D752" s="39"/>
      <c r="E752" s="39"/>
      <c r="F752" s="39"/>
      <c r="G752" s="39"/>
      <c r="H752" s="39"/>
      <c r="I752" s="39"/>
    </row>
    <row r="753">
      <c r="A753" s="41"/>
      <c r="B753" s="20"/>
      <c r="C753" s="39"/>
      <c r="D753" s="39"/>
      <c r="E753" s="39"/>
      <c r="F753" s="39"/>
      <c r="G753" s="39"/>
      <c r="H753" s="39"/>
      <c r="I753" s="39"/>
    </row>
    <row r="754">
      <c r="A754" s="41"/>
      <c r="B754" s="20"/>
      <c r="C754" s="39"/>
      <c r="D754" s="39"/>
      <c r="E754" s="39"/>
      <c r="F754" s="39"/>
      <c r="G754" s="39"/>
      <c r="H754" s="39"/>
      <c r="I754" s="39"/>
    </row>
    <row r="755">
      <c r="A755" s="41"/>
      <c r="B755" s="20"/>
      <c r="C755" s="39"/>
      <c r="D755" s="39"/>
      <c r="E755" s="39"/>
      <c r="F755" s="39"/>
      <c r="G755" s="39"/>
      <c r="H755" s="39"/>
      <c r="I755" s="39"/>
    </row>
    <row r="756">
      <c r="A756" s="41"/>
      <c r="B756" s="20"/>
      <c r="C756" s="39"/>
      <c r="D756" s="39"/>
      <c r="E756" s="39"/>
      <c r="F756" s="39"/>
      <c r="G756" s="39"/>
      <c r="H756" s="39"/>
      <c r="I756" s="39"/>
    </row>
    <row r="757">
      <c r="A757" s="41"/>
      <c r="B757" s="20"/>
      <c r="C757" s="39"/>
      <c r="D757" s="39"/>
      <c r="E757" s="39"/>
      <c r="F757" s="39"/>
      <c r="G757" s="39"/>
      <c r="H757" s="39"/>
      <c r="I757" s="39"/>
    </row>
    <row r="758">
      <c r="A758" s="41"/>
      <c r="B758" s="20"/>
      <c r="C758" s="39"/>
      <c r="D758" s="39"/>
      <c r="E758" s="39"/>
      <c r="F758" s="39"/>
      <c r="G758" s="39"/>
      <c r="H758" s="39"/>
      <c r="I758" s="39"/>
    </row>
    <row r="759">
      <c r="A759" s="41"/>
      <c r="B759" s="20"/>
      <c r="C759" s="39"/>
      <c r="D759" s="39"/>
      <c r="E759" s="39"/>
      <c r="F759" s="39"/>
      <c r="G759" s="39"/>
      <c r="H759" s="39"/>
      <c r="I759" s="39"/>
    </row>
    <row r="760">
      <c r="A760" s="41"/>
      <c r="B760" s="20"/>
      <c r="C760" s="39"/>
      <c r="D760" s="39"/>
      <c r="E760" s="39"/>
      <c r="F760" s="39"/>
      <c r="G760" s="39"/>
      <c r="H760" s="39"/>
      <c r="I760" s="39"/>
    </row>
    <row r="761">
      <c r="A761" s="41"/>
      <c r="B761" s="20"/>
      <c r="C761" s="39"/>
      <c r="D761" s="39"/>
      <c r="E761" s="39"/>
      <c r="F761" s="39"/>
      <c r="G761" s="39"/>
      <c r="H761" s="39"/>
      <c r="I761" s="39"/>
    </row>
    <row r="762">
      <c r="A762" s="41"/>
      <c r="B762" s="20"/>
      <c r="C762" s="39"/>
      <c r="D762" s="39"/>
      <c r="E762" s="39"/>
      <c r="F762" s="39"/>
      <c r="G762" s="39"/>
      <c r="H762" s="39"/>
      <c r="I762" s="39"/>
    </row>
    <row r="763">
      <c r="A763" s="41"/>
      <c r="B763" s="20"/>
      <c r="C763" s="39"/>
      <c r="D763" s="39"/>
      <c r="E763" s="39"/>
      <c r="F763" s="39"/>
      <c r="G763" s="39"/>
      <c r="H763" s="39"/>
      <c r="I763" s="39"/>
    </row>
    <row r="764">
      <c r="A764" s="41"/>
      <c r="B764" s="20"/>
      <c r="C764" s="39"/>
      <c r="D764" s="39"/>
      <c r="E764" s="39"/>
      <c r="F764" s="39"/>
      <c r="G764" s="39"/>
      <c r="H764" s="39"/>
      <c r="I764" s="39"/>
    </row>
    <row r="765">
      <c r="A765" s="41"/>
      <c r="B765" s="20"/>
      <c r="C765" s="39"/>
      <c r="D765" s="39"/>
      <c r="E765" s="39"/>
      <c r="F765" s="39"/>
      <c r="G765" s="39"/>
      <c r="H765" s="39"/>
      <c r="I765" s="39"/>
    </row>
    <row r="766">
      <c r="A766" s="41"/>
      <c r="B766" s="20"/>
      <c r="C766" s="39"/>
      <c r="D766" s="39"/>
      <c r="E766" s="39"/>
      <c r="F766" s="39"/>
      <c r="G766" s="39"/>
      <c r="H766" s="39"/>
      <c r="I766" s="39"/>
    </row>
    <row r="767">
      <c r="A767" s="41"/>
      <c r="B767" s="20"/>
      <c r="C767" s="39"/>
      <c r="D767" s="39"/>
      <c r="E767" s="39"/>
      <c r="F767" s="39"/>
      <c r="G767" s="39"/>
      <c r="H767" s="39"/>
      <c r="I767" s="39"/>
    </row>
    <row r="768">
      <c r="A768" s="41"/>
      <c r="B768" s="20"/>
      <c r="C768" s="39"/>
      <c r="D768" s="39"/>
      <c r="E768" s="39"/>
      <c r="F768" s="39"/>
      <c r="G768" s="39"/>
      <c r="H768" s="39"/>
      <c r="I768" s="39"/>
    </row>
    <row r="769">
      <c r="A769" s="41"/>
      <c r="B769" s="20"/>
      <c r="C769" s="39"/>
      <c r="D769" s="39"/>
      <c r="E769" s="39"/>
      <c r="F769" s="39"/>
      <c r="G769" s="39"/>
      <c r="H769" s="39"/>
      <c r="I769" s="39"/>
    </row>
    <row r="770">
      <c r="A770" s="41"/>
      <c r="B770" s="20"/>
      <c r="C770" s="39"/>
      <c r="D770" s="39"/>
      <c r="E770" s="39"/>
      <c r="F770" s="39"/>
      <c r="G770" s="39"/>
      <c r="H770" s="39"/>
      <c r="I770" s="39"/>
    </row>
    <row r="771">
      <c r="A771" s="41"/>
      <c r="B771" s="20"/>
      <c r="C771" s="39"/>
      <c r="D771" s="39"/>
      <c r="E771" s="39"/>
      <c r="F771" s="39"/>
      <c r="G771" s="39"/>
      <c r="H771" s="39"/>
      <c r="I771" s="39"/>
    </row>
    <row r="772">
      <c r="A772" s="41"/>
      <c r="B772" s="20"/>
      <c r="C772" s="39"/>
      <c r="D772" s="39"/>
      <c r="E772" s="39"/>
      <c r="F772" s="39"/>
      <c r="G772" s="39"/>
      <c r="H772" s="39"/>
      <c r="I772" s="39"/>
    </row>
    <row r="773">
      <c r="A773" s="41"/>
      <c r="B773" s="20"/>
      <c r="C773" s="39"/>
      <c r="D773" s="39"/>
      <c r="E773" s="39"/>
      <c r="F773" s="39"/>
      <c r="G773" s="39"/>
      <c r="H773" s="39"/>
      <c r="I773" s="39"/>
    </row>
    <row r="774">
      <c r="A774" s="41"/>
      <c r="B774" s="20"/>
      <c r="C774" s="39"/>
      <c r="D774" s="39"/>
      <c r="E774" s="39"/>
      <c r="F774" s="39"/>
      <c r="G774" s="39"/>
      <c r="H774" s="39"/>
      <c r="I774" s="39"/>
    </row>
    <row r="775">
      <c r="A775" s="41"/>
      <c r="B775" s="20"/>
      <c r="C775" s="39"/>
      <c r="D775" s="39"/>
      <c r="E775" s="39"/>
      <c r="F775" s="39"/>
      <c r="G775" s="39"/>
      <c r="H775" s="39"/>
      <c r="I775" s="39"/>
    </row>
    <row r="776">
      <c r="A776" s="41"/>
      <c r="B776" s="20"/>
      <c r="C776" s="39"/>
      <c r="D776" s="39"/>
      <c r="E776" s="39"/>
      <c r="F776" s="39"/>
      <c r="G776" s="39"/>
      <c r="H776" s="39"/>
      <c r="I776" s="39"/>
    </row>
    <row r="777">
      <c r="A777" s="41"/>
      <c r="B777" s="20"/>
      <c r="C777" s="39"/>
      <c r="D777" s="39"/>
      <c r="E777" s="39"/>
      <c r="F777" s="39"/>
      <c r="G777" s="39"/>
      <c r="H777" s="39"/>
      <c r="I777" s="39"/>
    </row>
    <row r="778">
      <c r="A778" s="41"/>
      <c r="B778" s="20"/>
      <c r="C778" s="39"/>
      <c r="D778" s="39"/>
      <c r="E778" s="39"/>
      <c r="F778" s="39"/>
      <c r="G778" s="39"/>
      <c r="H778" s="39"/>
      <c r="I778" s="39"/>
    </row>
    <row r="779">
      <c r="A779" s="41"/>
      <c r="B779" s="20"/>
      <c r="C779" s="39"/>
      <c r="D779" s="39"/>
      <c r="E779" s="39"/>
      <c r="F779" s="39"/>
      <c r="G779" s="39"/>
      <c r="H779" s="39"/>
      <c r="I779" s="39"/>
    </row>
    <row r="780">
      <c r="A780" s="41"/>
      <c r="B780" s="20"/>
      <c r="C780" s="39"/>
      <c r="D780" s="39"/>
      <c r="E780" s="39"/>
      <c r="F780" s="39"/>
      <c r="G780" s="39"/>
      <c r="H780" s="39"/>
      <c r="I780" s="39"/>
    </row>
    <row r="781">
      <c r="A781" s="41"/>
      <c r="B781" s="20"/>
      <c r="C781" s="39"/>
      <c r="D781" s="39"/>
      <c r="E781" s="39"/>
      <c r="F781" s="39"/>
      <c r="G781" s="39"/>
      <c r="H781" s="39"/>
      <c r="I781" s="39"/>
    </row>
    <row r="782">
      <c r="A782" s="41"/>
      <c r="B782" s="20"/>
      <c r="C782" s="39"/>
      <c r="D782" s="39"/>
      <c r="E782" s="39"/>
      <c r="F782" s="39"/>
      <c r="G782" s="39"/>
      <c r="H782" s="39"/>
      <c r="I782" s="39"/>
    </row>
    <row r="783">
      <c r="A783" s="41"/>
      <c r="B783" s="20"/>
      <c r="C783" s="39"/>
      <c r="D783" s="39"/>
      <c r="E783" s="39"/>
      <c r="F783" s="39"/>
      <c r="G783" s="39"/>
      <c r="H783" s="39"/>
      <c r="I783" s="39"/>
    </row>
    <row r="784">
      <c r="A784" s="41"/>
      <c r="B784" s="20"/>
      <c r="C784" s="39"/>
      <c r="D784" s="39"/>
      <c r="E784" s="39"/>
      <c r="F784" s="39"/>
      <c r="G784" s="39"/>
      <c r="H784" s="39"/>
      <c r="I784" s="39"/>
    </row>
    <row r="785">
      <c r="A785" s="41"/>
      <c r="B785" s="20"/>
      <c r="C785" s="39"/>
      <c r="D785" s="39"/>
      <c r="E785" s="39"/>
      <c r="F785" s="39"/>
      <c r="G785" s="39"/>
      <c r="H785" s="39"/>
      <c r="I785" s="39"/>
    </row>
    <row r="786">
      <c r="A786" s="41"/>
      <c r="B786" s="20"/>
      <c r="C786" s="39"/>
      <c r="D786" s="39"/>
      <c r="E786" s="39"/>
      <c r="F786" s="39"/>
      <c r="G786" s="39"/>
      <c r="H786" s="39"/>
      <c r="I786" s="39"/>
    </row>
    <row r="787">
      <c r="A787" s="41"/>
      <c r="B787" s="20"/>
      <c r="C787" s="39"/>
      <c r="D787" s="39"/>
      <c r="E787" s="39"/>
      <c r="F787" s="39"/>
      <c r="G787" s="39"/>
      <c r="H787" s="39"/>
      <c r="I787" s="39"/>
    </row>
    <row r="788">
      <c r="A788" s="41"/>
      <c r="B788" s="20"/>
      <c r="C788" s="39"/>
      <c r="D788" s="39"/>
      <c r="E788" s="39"/>
      <c r="F788" s="39"/>
      <c r="G788" s="39"/>
      <c r="H788" s="39"/>
      <c r="I788" s="39"/>
    </row>
    <row r="789">
      <c r="A789" s="41"/>
      <c r="B789" s="20"/>
      <c r="C789" s="39"/>
      <c r="D789" s="39"/>
      <c r="E789" s="39"/>
      <c r="F789" s="39"/>
      <c r="G789" s="39"/>
      <c r="H789" s="39"/>
      <c r="I789" s="39"/>
    </row>
    <row r="790">
      <c r="A790" s="41"/>
      <c r="B790" s="20"/>
      <c r="C790" s="39"/>
      <c r="D790" s="39"/>
      <c r="E790" s="39"/>
      <c r="F790" s="39"/>
      <c r="G790" s="39"/>
      <c r="H790" s="39"/>
      <c r="I790" s="39"/>
    </row>
    <row r="791">
      <c r="A791" s="41"/>
      <c r="B791" s="20"/>
      <c r="C791" s="39"/>
      <c r="D791" s="39"/>
      <c r="E791" s="39"/>
      <c r="F791" s="39"/>
      <c r="G791" s="39"/>
      <c r="H791" s="39"/>
      <c r="I791" s="39"/>
    </row>
    <row r="792">
      <c r="A792" s="41"/>
      <c r="B792" s="20"/>
      <c r="C792" s="39"/>
      <c r="D792" s="39"/>
      <c r="E792" s="39"/>
      <c r="F792" s="39"/>
      <c r="G792" s="39"/>
      <c r="H792" s="39"/>
      <c r="I792" s="39"/>
    </row>
    <row r="793">
      <c r="A793" s="41"/>
      <c r="B793" s="20"/>
      <c r="C793" s="39"/>
      <c r="D793" s="39"/>
      <c r="E793" s="39"/>
      <c r="F793" s="39"/>
      <c r="G793" s="39"/>
      <c r="H793" s="39"/>
      <c r="I793" s="39"/>
    </row>
    <row r="794">
      <c r="A794" s="41"/>
      <c r="B794" s="20"/>
      <c r="C794" s="39"/>
      <c r="D794" s="39"/>
      <c r="E794" s="39"/>
      <c r="F794" s="39"/>
      <c r="G794" s="39"/>
      <c r="H794" s="39"/>
      <c r="I794" s="39"/>
    </row>
    <row r="795">
      <c r="A795" s="41"/>
      <c r="B795" s="20"/>
      <c r="C795" s="39"/>
      <c r="D795" s="39"/>
      <c r="E795" s="39"/>
      <c r="F795" s="39"/>
      <c r="G795" s="39"/>
      <c r="H795" s="39"/>
      <c r="I795" s="39"/>
    </row>
    <row r="796">
      <c r="A796" s="41"/>
      <c r="B796" s="20"/>
      <c r="C796" s="39"/>
      <c r="D796" s="39"/>
      <c r="E796" s="39"/>
      <c r="F796" s="39"/>
      <c r="G796" s="39"/>
      <c r="H796" s="39"/>
      <c r="I796" s="39"/>
    </row>
    <row r="797">
      <c r="A797" s="41"/>
      <c r="B797" s="20"/>
      <c r="C797" s="39"/>
      <c r="D797" s="39"/>
      <c r="E797" s="39"/>
      <c r="F797" s="39"/>
      <c r="G797" s="39"/>
      <c r="H797" s="39"/>
      <c r="I797" s="39"/>
    </row>
    <row r="798">
      <c r="A798" s="41"/>
      <c r="B798" s="20"/>
      <c r="C798" s="39"/>
      <c r="D798" s="39"/>
      <c r="E798" s="39"/>
      <c r="F798" s="39"/>
      <c r="G798" s="39"/>
      <c r="H798" s="39"/>
      <c r="I798" s="39"/>
    </row>
    <row r="799">
      <c r="A799" s="41"/>
      <c r="B799" s="20"/>
      <c r="C799" s="39"/>
      <c r="D799" s="39"/>
      <c r="E799" s="39"/>
      <c r="F799" s="39"/>
      <c r="G799" s="39"/>
      <c r="H799" s="39"/>
      <c r="I799" s="39"/>
    </row>
    <row r="800">
      <c r="A800" s="41"/>
      <c r="B800" s="20"/>
      <c r="C800" s="39"/>
      <c r="D800" s="39"/>
      <c r="E800" s="39"/>
      <c r="F800" s="39"/>
      <c r="G800" s="39"/>
      <c r="H800" s="39"/>
      <c r="I800" s="39"/>
    </row>
    <row r="801">
      <c r="A801" s="41"/>
      <c r="B801" s="20"/>
      <c r="C801" s="39"/>
      <c r="D801" s="39"/>
      <c r="E801" s="39"/>
      <c r="F801" s="39"/>
      <c r="G801" s="39"/>
      <c r="H801" s="39"/>
      <c r="I801" s="39"/>
    </row>
    <row r="802">
      <c r="A802" s="41"/>
      <c r="B802" s="20"/>
      <c r="C802" s="39"/>
      <c r="D802" s="39"/>
      <c r="E802" s="39"/>
      <c r="F802" s="39"/>
      <c r="G802" s="39"/>
      <c r="H802" s="39"/>
      <c r="I802" s="39"/>
    </row>
    <row r="803">
      <c r="A803" s="41"/>
      <c r="B803" s="20"/>
      <c r="C803" s="39"/>
      <c r="D803" s="39"/>
      <c r="E803" s="39"/>
      <c r="F803" s="39"/>
      <c r="G803" s="39"/>
      <c r="H803" s="39"/>
      <c r="I803" s="39"/>
    </row>
    <row r="804">
      <c r="A804" s="41"/>
      <c r="B804" s="20"/>
      <c r="C804" s="39"/>
      <c r="D804" s="39"/>
      <c r="E804" s="39"/>
      <c r="F804" s="39"/>
      <c r="G804" s="39"/>
      <c r="H804" s="39"/>
      <c r="I804" s="39"/>
    </row>
    <row r="805">
      <c r="A805" s="41"/>
      <c r="B805" s="20"/>
      <c r="C805" s="39"/>
      <c r="D805" s="39"/>
      <c r="E805" s="39"/>
      <c r="F805" s="39"/>
      <c r="G805" s="39"/>
      <c r="H805" s="39"/>
      <c r="I805" s="39"/>
    </row>
    <row r="806">
      <c r="A806" s="41"/>
      <c r="B806" s="20"/>
      <c r="C806" s="39"/>
      <c r="D806" s="39"/>
      <c r="E806" s="39"/>
      <c r="F806" s="39"/>
      <c r="G806" s="39"/>
      <c r="H806" s="39"/>
      <c r="I806" s="39"/>
    </row>
    <row r="807">
      <c r="A807" s="41"/>
      <c r="B807" s="20"/>
      <c r="C807" s="39"/>
      <c r="D807" s="39"/>
      <c r="E807" s="39"/>
      <c r="F807" s="39"/>
      <c r="G807" s="39"/>
      <c r="H807" s="39"/>
      <c r="I807" s="39"/>
    </row>
    <row r="808">
      <c r="A808" s="41"/>
      <c r="B808" s="20"/>
      <c r="C808" s="39"/>
      <c r="D808" s="39"/>
      <c r="E808" s="39"/>
      <c r="F808" s="39"/>
      <c r="G808" s="39"/>
      <c r="H808" s="39"/>
      <c r="I808" s="39"/>
    </row>
    <row r="809">
      <c r="A809" s="41"/>
      <c r="B809" s="20"/>
      <c r="C809" s="39"/>
      <c r="D809" s="39"/>
      <c r="E809" s="39"/>
      <c r="F809" s="39"/>
      <c r="G809" s="39"/>
      <c r="H809" s="39"/>
      <c r="I809" s="39"/>
    </row>
    <row r="810">
      <c r="A810" s="41"/>
      <c r="B810" s="20"/>
      <c r="C810" s="39"/>
      <c r="D810" s="39"/>
      <c r="E810" s="39"/>
      <c r="F810" s="39"/>
      <c r="G810" s="39"/>
      <c r="H810" s="39"/>
      <c r="I810" s="39"/>
    </row>
    <row r="811">
      <c r="A811" s="41"/>
      <c r="B811" s="20"/>
      <c r="C811" s="39"/>
      <c r="D811" s="39"/>
      <c r="E811" s="39"/>
      <c r="F811" s="39"/>
      <c r="G811" s="39"/>
      <c r="H811" s="39"/>
      <c r="I811" s="39"/>
    </row>
    <row r="812">
      <c r="A812" s="41"/>
      <c r="B812" s="20"/>
      <c r="C812" s="39"/>
      <c r="D812" s="39"/>
      <c r="E812" s="39"/>
      <c r="F812" s="39"/>
      <c r="G812" s="39"/>
      <c r="H812" s="39"/>
      <c r="I812" s="39"/>
    </row>
    <row r="813">
      <c r="A813" s="41"/>
      <c r="B813" s="20"/>
      <c r="C813" s="39"/>
      <c r="D813" s="39"/>
      <c r="E813" s="39"/>
      <c r="F813" s="39"/>
      <c r="G813" s="39"/>
      <c r="H813" s="39"/>
      <c r="I813" s="39"/>
    </row>
    <row r="814">
      <c r="A814" s="41"/>
      <c r="B814" s="20"/>
      <c r="C814" s="39"/>
      <c r="D814" s="39"/>
      <c r="E814" s="39"/>
      <c r="F814" s="39"/>
      <c r="G814" s="39"/>
      <c r="H814" s="39"/>
      <c r="I814" s="39"/>
    </row>
    <row r="815">
      <c r="A815" s="41"/>
      <c r="B815" s="20"/>
      <c r="C815" s="39"/>
      <c r="D815" s="39"/>
      <c r="E815" s="39"/>
      <c r="F815" s="39"/>
      <c r="G815" s="39"/>
      <c r="H815" s="39"/>
      <c r="I815" s="39"/>
    </row>
    <row r="816">
      <c r="A816" s="41"/>
      <c r="B816" s="20"/>
      <c r="C816" s="39"/>
      <c r="D816" s="39"/>
      <c r="E816" s="39"/>
      <c r="F816" s="39"/>
      <c r="G816" s="39"/>
      <c r="H816" s="39"/>
      <c r="I816" s="39"/>
    </row>
    <row r="817">
      <c r="A817" s="41"/>
      <c r="B817" s="20"/>
      <c r="C817" s="39"/>
      <c r="D817" s="39"/>
      <c r="E817" s="39"/>
      <c r="F817" s="39"/>
      <c r="G817" s="39"/>
      <c r="H817" s="39"/>
      <c r="I817" s="39"/>
    </row>
    <row r="818">
      <c r="A818" s="41"/>
      <c r="B818" s="20"/>
      <c r="C818" s="39"/>
      <c r="D818" s="39"/>
      <c r="E818" s="39"/>
      <c r="F818" s="39"/>
      <c r="G818" s="39"/>
      <c r="H818" s="39"/>
      <c r="I818" s="39"/>
    </row>
    <row r="819">
      <c r="A819" s="41"/>
      <c r="B819" s="20"/>
      <c r="C819" s="39"/>
      <c r="D819" s="39"/>
      <c r="E819" s="39"/>
      <c r="F819" s="39"/>
      <c r="G819" s="39"/>
      <c r="H819" s="39"/>
      <c r="I819" s="39"/>
    </row>
    <row r="820">
      <c r="A820" s="41"/>
      <c r="B820" s="20"/>
      <c r="C820" s="39"/>
      <c r="D820" s="39"/>
      <c r="E820" s="39"/>
      <c r="F820" s="39"/>
      <c r="G820" s="39"/>
      <c r="H820" s="39"/>
      <c r="I820" s="39"/>
    </row>
    <row r="821">
      <c r="A821" s="41"/>
      <c r="B821" s="20"/>
      <c r="C821" s="39"/>
      <c r="D821" s="39"/>
      <c r="E821" s="39"/>
      <c r="F821" s="39"/>
      <c r="G821" s="39"/>
      <c r="H821" s="39"/>
      <c r="I821" s="39"/>
    </row>
    <row r="822">
      <c r="A822" s="41"/>
      <c r="B822" s="20"/>
      <c r="C822" s="39"/>
      <c r="D822" s="39"/>
      <c r="E822" s="39"/>
      <c r="F822" s="39"/>
      <c r="G822" s="39"/>
      <c r="H822" s="39"/>
      <c r="I822" s="39"/>
    </row>
    <row r="823">
      <c r="A823" s="41"/>
      <c r="B823" s="20"/>
      <c r="C823" s="39"/>
      <c r="D823" s="39"/>
      <c r="E823" s="39"/>
      <c r="F823" s="39"/>
      <c r="G823" s="39"/>
      <c r="H823" s="39"/>
      <c r="I823" s="39"/>
    </row>
    <row r="824">
      <c r="A824" s="41"/>
      <c r="B824" s="20"/>
      <c r="C824" s="39"/>
      <c r="D824" s="39"/>
      <c r="E824" s="39"/>
      <c r="F824" s="39"/>
      <c r="G824" s="39"/>
      <c r="H824" s="39"/>
      <c r="I824" s="39"/>
    </row>
    <row r="825">
      <c r="A825" s="41"/>
      <c r="B825" s="20"/>
      <c r="C825" s="39"/>
      <c r="D825" s="39"/>
      <c r="E825" s="39"/>
      <c r="F825" s="39"/>
      <c r="G825" s="39"/>
      <c r="H825" s="39"/>
      <c r="I825" s="39"/>
    </row>
    <row r="826">
      <c r="A826" s="41"/>
      <c r="B826" s="20"/>
      <c r="C826" s="39"/>
      <c r="D826" s="39"/>
      <c r="E826" s="39"/>
      <c r="F826" s="39"/>
      <c r="G826" s="39"/>
      <c r="H826" s="39"/>
      <c r="I826" s="39"/>
    </row>
    <row r="827">
      <c r="A827" s="41"/>
      <c r="B827" s="20"/>
      <c r="C827" s="39"/>
      <c r="D827" s="39"/>
      <c r="E827" s="39"/>
      <c r="F827" s="39"/>
      <c r="G827" s="39"/>
      <c r="H827" s="39"/>
      <c r="I827" s="39"/>
    </row>
    <row r="828">
      <c r="A828" s="41"/>
      <c r="B828" s="20"/>
      <c r="C828" s="39"/>
      <c r="D828" s="39"/>
      <c r="E828" s="39"/>
      <c r="F828" s="39"/>
      <c r="G828" s="39"/>
      <c r="H828" s="39"/>
      <c r="I828" s="39"/>
    </row>
    <row r="829">
      <c r="A829" s="41"/>
      <c r="B829" s="20"/>
      <c r="C829" s="39"/>
      <c r="D829" s="39"/>
      <c r="E829" s="39"/>
      <c r="F829" s="39"/>
      <c r="G829" s="39"/>
      <c r="H829" s="39"/>
      <c r="I829" s="39"/>
    </row>
    <row r="830">
      <c r="A830" s="41"/>
      <c r="B830" s="20"/>
      <c r="C830" s="39"/>
      <c r="D830" s="39"/>
      <c r="E830" s="39"/>
      <c r="F830" s="39"/>
      <c r="G830" s="39"/>
      <c r="H830" s="39"/>
      <c r="I830" s="39"/>
    </row>
    <row r="831">
      <c r="A831" s="41"/>
      <c r="B831" s="20"/>
      <c r="C831" s="39"/>
      <c r="D831" s="39"/>
      <c r="E831" s="39"/>
      <c r="F831" s="39"/>
      <c r="G831" s="39"/>
      <c r="H831" s="39"/>
      <c r="I831" s="39"/>
    </row>
    <row r="832">
      <c r="A832" s="41"/>
      <c r="B832" s="20"/>
      <c r="C832" s="39"/>
      <c r="D832" s="39"/>
      <c r="E832" s="39"/>
      <c r="F832" s="39"/>
      <c r="G832" s="39"/>
      <c r="H832" s="39"/>
      <c r="I832" s="39"/>
    </row>
    <row r="833">
      <c r="A833" s="41"/>
      <c r="B833" s="20"/>
      <c r="C833" s="39"/>
      <c r="D833" s="39"/>
      <c r="E833" s="39"/>
      <c r="F833" s="39"/>
      <c r="G833" s="39"/>
      <c r="H833" s="39"/>
      <c r="I833" s="39"/>
    </row>
    <row r="834">
      <c r="A834" s="41"/>
      <c r="B834" s="20"/>
      <c r="C834" s="39"/>
      <c r="D834" s="39"/>
      <c r="E834" s="39"/>
      <c r="F834" s="39"/>
      <c r="G834" s="39"/>
      <c r="H834" s="39"/>
      <c r="I834" s="39"/>
    </row>
    <row r="835">
      <c r="A835" s="41"/>
      <c r="B835" s="20"/>
      <c r="C835" s="39"/>
      <c r="D835" s="39"/>
      <c r="E835" s="39"/>
      <c r="F835" s="39"/>
      <c r="G835" s="39"/>
      <c r="H835" s="39"/>
      <c r="I835" s="39"/>
    </row>
    <row r="836">
      <c r="A836" s="41"/>
      <c r="B836" s="20"/>
      <c r="C836" s="39"/>
      <c r="D836" s="39"/>
      <c r="E836" s="39"/>
      <c r="F836" s="39"/>
      <c r="G836" s="39"/>
      <c r="H836" s="39"/>
      <c r="I836" s="39"/>
    </row>
    <row r="837">
      <c r="A837" s="41"/>
      <c r="B837" s="20"/>
      <c r="C837" s="39"/>
      <c r="D837" s="39"/>
      <c r="E837" s="39"/>
      <c r="F837" s="39"/>
      <c r="G837" s="39"/>
      <c r="H837" s="39"/>
      <c r="I837" s="39"/>
    </row>
    <row r="838">
      <c r="A838" s="41"/>
      <c r="B838" s="20"/>
      <c r="C838" s="39"/>
      <c r="D838" s="39"/>
      <c r="E838" s="39"/>
      <c r="F838" s="39"/>
      <c r="G838" s="39"/>
      <c r="H838" s="39"/>
      <c r="I838" s="39"/>
    </row>
    <row r="839">
      <c r="A839" s="41"/>
      <c r="B839" s="20"/>
      <c r="C839" s="39"/>
      <c r="D839" s="39"/>
      <c r="E839" s="39"/>
      <c r="F839" s="39"/>
      <c r="G839" s="39"/>
      <c r="H839" s="39"/>
      <c r="I839" s="39"/>
    </row>
    <row r="840">
      <c r="A840" s="41"/>
      <c r="B840" s="20"/>
      <c r="C840" s="39"/>
      <c r="D840" s="39"/>
      <c r="E840" s="39"/>
      <c r="F840" s="39"/>
      <c r="G840" s="39"/>
      <c r="H840" s="39"/>
      <c r="I840" s="39"/>
    </row>
    <row r="841">
      <c r="A841" s="41"/>
      <c r="B841" s="20"/>
      <c r="C841" s="39"/>
      <c r="D841" s="39"/>
      <c r="E841" s="39"/>
      <c r="F841" s="39"/>
      <c r="G841" s="39"/>
      <c r="H841" s="39"/>
      <c r="I841" s="39"/>
    </row>
    <row r="842">
      <c r="A842" s="41"/>
      <c r="B842" s="20"/>
      <c r="C842" s="39"/>
      <c r="D842" s="39"/>
      <c r="E842" s="39"/>
      <c r="F842" s="39"/>
      <c r="G842" s="39"/>
      <c r="H842" s="39"/>
      <c r="I842" s="39"/>
    </row>
    <row r="843">
      <c r="A843" s="41"/>
      <c r="B843" s="20"/>
      <c r="C843" s="39"/>
      <c r="D843" s="39"/>
      <c r="E843" s="39"/>
      <c r="F843" s="39"/>
      <c r="G843" s="39"/>
      <c r="H843" s="39"/>
      <c r="I843" s="39"/>
    </row>
    <row r="844">
      <c r="A844" s="41"/>
      <c r="B844" s="20"/>
      <c r="C844" s="39"/>
      <c r="D844" s="39"/>
      <c r="E844" s="39"/>
      <c r="F844" s="39"/>
      <c r="G844" s="39"/>
      <c r="H844" s="39"/>
      <c r="I844" s="39"/>
    </row>
    <row r="845">
      <c r="A845" s="41"/>
      <c r="B845" s="20"/>
      <c r="C845" s="39"/>
      <c r="D845" s="39"/>
      <c r="E845" s="39"/>
      <c r="F845" s="39"/>
      <c r="G845" s="39"/>
      <c r="H845" s="39"/>
      <c r="I845" s="39"/>
    </row>
    <row r="846">
      <c r="A846" s="41"/>
      <c r="B846" s="20"/>
      <c r="C846" s="39"/>
      <c r="D846" s="39"/>
      <c r="E846" s="39"/>
      <c r="F846" s="39"/>
      <c r="G846" s="39"/>
      <c r="H846" s="39"/>
      <c r="I846" s="39"/>
    </row>
    <row r="847">
      <c r="A847" s="41"/>
      <c r="B847" s="20"/>
      <c r="C847" s="39"/>
      <c r="D847" s="39"/>
      <c r="E847" s="39"/>
      <c r="F847" s="39"/>
      <c r="G847" s="39"/>
      <c r="H847" s="39"/>
      <c r="I847" s="39"/>
    </row>
    <row r="848">
      <c r="A848" s="41"/>
      <c r="B848" s="20"/>
      <c r="C848" s="39"/>
      <c r="D848" s="39"/>
      <c r="E848" s="39"/>
      <c r="F848" s="39"/>
      <c r="G848" s="39"/>
      <c r="H848" s="39"/>
      <c r="I848" s="39"/>
    </row>
    <row r="849">
      <c r="A849" s="41"/>
      <c r="B849" s="20"/>
      <c r="C849" s="39"/>
      <c r="D849" s="39"/>
      <c r="E849" s="39"/>
      <c r="F849" s="39"/>
      <c r="G849" s="39"/>
      <c r="H849" s="39"/>
      <c r="I849" s="39"/>
    </row>
    <row r="850">
      <c r="A850" s="41"/>
      <c r="B850" s="20"/>
      <c r="C850" s="39"/>
      <c r="D850" s="39"/>
      <c r="E850" s="39"/>
      <c r="F850" s="39"/>
      <c r="G850" s="39"/>
      <c r="H850" s="39"/>
      <c r="I850" s="39"/>
    </row>
    <row r="851">
      <c r="A851" s="41"/>
      <c r="B851" s="20"/>
      <c r="C851" s="39"/>
      <c r="D851" s="39"/>
      <c r="E851" s="39"/>
      <c r="F851" s="39"/>
      <c r="G851" s="39"/>
      <c r="H851" s="39"/>
      <c r="I851" s="39"/>
    </row>
    <row r="852">
      <c r="A852" s="41"/>
      <c r="B852" s="20"/>
      <c r="C852" s="39"/>
      <c r="D852" s="39"/>
      <c r="E852" s="39"/>
      <c r="F852" s="39"/>
      <c r="G852" s="39"/>
      <c r="H852" s="39"/>
      <c r="I852" s="39"/>
    </row>
    <row r="853">
      <c r="A853" s="41"/>
      <c r="B853" s="20"/>
      <c r="C853" s="39"/>
      <c r="D853" s="39"/>
      <c r="E853" s="39"/>
      <c r="F853" s="39"/>
      <c r="G853" s="39"/>
      <c r="H853" s="39"/>
      <c r="I853" s="39"/>
    </row>
    <row r="854">
      <c r="A854" s="41"/>
      <c r="B854" s="20"/>
      <c r="C854" s="39"/>
      <c r="D854" s="39"/>
      <c r="E854" s="39"/>
      <c r="F854" s="39"/>
      <c r="G854" s="39"/>
      <c r="H854" s="39"/>
      <c r="I854" s="39"/>
    </row>
    <row r="855">
      <c r="A855" s="41"/>
      <c r="B855" s="20"/>
      <c r="C855" s="39"/>
      <c r="D855" s="39"/>
      <c r="E855" s="39"/>
      <c r="F855" s="39"/>
      <c r="G855" s="39"/>
      <c r="H855" s="39"/>
      <c r="I855" s="39"/>
    </row>
    <row r="856">
      <c r="A856" s="41"/>
      <c r="B856" s="20"/>
      <c r="C856" s="39"/>
      <c r="D856" s="39"/>
      <c r="E856" s="39"/>
      <c r="F856" s="39"/>
      <c r="G856" s="39"/>
      <c r="H856" s="39"/>
      <c r="I856" s="39"/>
    </row>
    <row r="857">
      <c r="A857" s="41"/>
      <c r="B857" s="20"/>
      <c r="C857" s="39"/>
      <c r="D857" s="39"/>
      <c r="E857" s="39"/>
      <c r="F857" s="39"/>
      <c r="G857" s="39"/>
      <c r="H857" s="39"/>
      <c r="I857" s="39"/>
    </row>
    <row r="858">
      <c r="A858" s="41"/>
      <c r="B858" s="20"/>
      <c r="C858" s="39"/>
      <c r="D858" s="39"/>
      <c r="E858" s="39"/>
      <c r="F858" s="39"/>
      <c r="G858" s="39"/>
      <c r="H858" s="39"/>
      <c r="I858" s="39"/>
    </row>
    <row r="859">
      <c r="A859" s="41"/>
      <c r="B859" s="20"/>
      <c r="C859" s="39"/>
      <c r="D859" s="39"/>
      <c r="E859" s="39"/>
      <c r="F859" s="39"/>
      <c r="G859" s="39"/>
      <c r="H859" s="39"/>
      <c r="I859" s="39"/>
    </row>
    <row r="860">
      <c r="A860" s="41"/>
      <c r="B860" s="20"/>
      <c r="C860" s="39"/>
      <c r="D860" s="39"/>
      <c r="E860" s="39"/>
      <c r="F860" s="39"/>
      <c r="G860" s="39"/>
      <c r="H860" s="39"/>
      <c r="I860" s="39"/>
    </row>
    <row r="861">
      <c r="A861" s="41"/>
      <c r="B861" s="20"/>
      <c r="C861" s="39"/>
      <c r="D861" s="39"/>
      <c r="E861" s="39"/>
      <c r="F861" s="39"/>
      <c r="G861" s="39"/>
      <c r="H861" s="39"/>
      <c r="I861" s="39"/>
    </row>
    <row r="862">
      <c r="A862" s="41"/>
      <c r="B862" s="20"/>
      <c r="C862" s="39"/>
      <c r="D862" s="39"/>
      <c r="E862" s="39"/>
      <c r="F862" s="39"/>
      <c r="G862" s="39"/>
      <c r="H862" s="39"/>
      <c r="I862" s="39"/>
    </row>
    <row r="863">
      <c r="A863" s="41"/>
      <c r="B863" s="20"/>
      <c r="C863" s="39"/>
      <c r="D863" s="39"/>
      <c r="E863" s="39"/>
      <c r="F863" s="39"/>
      <c r="G863" s="39"/>
      <c r="H863" s="39"/>
      <c r="I863" s="39"/>
    </row>
    <row r="864">
      <c r="A864" s="41"/>
      <c r="B864" s="20"/>
      <c r="C864" s="39"/>
      <c r="D864" s="39"/>
      <c r="E864" s="39"/>
      <c r="F864" s="39"/>
      <c r="G864" s="39"/>
      <c r="H864" s="39"/>
      <c r="I864" s="39"/>
    </row>
    <row r="865">
      <c r="A865" s="41"/>
      <c r="B865" s="20"/>
      <c r="C865" s="39"/>
      <c r="D865" s="39"/>
      <c r="E865" s="39"/>
      <c r="F865" s="39"/>
      <c r="G865" s="39"/>
      <c r="H865" s="39"/>
      <c r="I865" s="39"/>
    </row>
    <row r="866">
      <c r="A866" s="41"/>
      <c r="B866" s="20"/>
      <c r="C866" s="39"/>
      <c r="D866" s="39"/>
      <c r="E866" s="39"/>
      <c r="F866" s="39"/>
      <c r="G866" s="39"/>
      <c r="H866" s="39"/>
      <c r="I866" s="39"/>
    </row>
    <row r="867">
      <c r="A867" s="41"/>
      <c r="B867" s="20"/>
      <c r="C867" s="39"/>
      <c r="D867" s="39"/>
      <c r="E867" s="39"/>
      <c r="F867" s="39"/>
      <c r="G867" s="39"/>
      <c r="H867" s="39"/>
      <c r="I867" s="39"/>
    </row>
    <row r="868">
      <c r="A868" s="41"/>
      <c r="B868" s="20"/>
      <c r="C868" s="39"/>
      <c r="D868" s="39"/>
      <c r="E868" s="39"/>
      <c r="F868" s="39"/>
      <c r="G868" s="39"/>
      <c r="H868" s="39"/>
      <c r="I868" s="39"/>
    </row>
    <row r="869">
      <c r="A869" s="41"/>
      <c r="B869" s="20"/>
      <c r="C869" s="39"/>
      <c r="D869" s="39"/>
      <c r="E869" s="39"/>
      <c r="F869" s="39"/>
      <c r="G869" s="39"/>
      <c r="H869" s="39"/>
      <c r="I869" s="39"/>
    </row>
    <row r="870">
      <c r="A870" s="41"/>
      <c r="B870" s="20"/>
      <c r="C870" s="39"/>
      <c r="D870" s="39"/>
      <c r="E870" s="39"/>
      <c r="F870" s="39"/>
      <c r="G870" s="39"/>
      <c r="H870" s="39"/>
      <c r="I870" s="39"/>
    </row>
    <row r="871">
      <c r="A871" s="41"/>
      <c r="B871" s="20"/>
      <c r="C871" s="39"/>
      <c r="D871" s="39"/>
      <c r="E871" s="39"/>
      <c r="F871" s="39"/>
      <c r="G871" s="39"/>
      <c r="H871" s="39"/>
      <c r="I871" s="39"/>
    </row>
    <row r="872">
      <c r="A872" s="41"/>
      <c r="B872" s="20"/>
      <c r="C872" s="39"/>
      <c r="D872" s="39"/>
      <c r="E872" s="39"/>
      <c r="F872" s="39"/>
      <c r="G872" s="39"/>
      <c r="H872" s="39"/>
      <c r="I872" s="39"/>
    </row>
    <row r="873">
      <c r="A873" s="41"/>
      <c r="B873" s="20"/>
      <c r="C873" s="39"/>
      <c r="D873" s="39"/>
      <c r="E873" s="39"/>
      <c r="F873" s="39"/>
      <c r="G873" s="39"/>
      <c r="H873" s="39"/>
      <c r="I873" s="39"/>
    </row>
    <row r="874">
      <c r="A874" s="41"/>
      <c r="B874" s="20"/>
      <c r="C874" s="39"/>
      <c r="D874" s="39"/>
      <c r="E874" s="39"/>
      <c r="F874" s="39"/>
      <c r="G874" s="39"/>
      <c r="H874" s="39"/>
      <c r="I874" s="39"/>
    </row>
    <row r="875">
      <c r="A875" s="41"/>
      <c r="B875" s="20"/>
      <c r="C875" s="39"/>
      <c r="D875" s="39"/>
      <c r="E875" s="39"/>
      <c r="F875" s="39"/>
      <c r="G875" s="39"/>
      <c r="H875" s="39"/>
      <c r="I875" s="39"/>
    </row>
    <row r="876">
      <c r="A876" s="41"/>
      <c r="B876" s="20"/>
      <c r="C876" s="39"/>
      <c r="D876" s="39"/>
      <c r="E876" s="39"/>
      <c r="F876" s="39"/>
      <c r="G876" s="39"/>
      <c r="H876" s="39"/>
      <c r="I876" s="39"/>
    </row>
    <row r="877">
      <c r="A877" s="41"/>
      <c r="B877" s="20"/>
      <c r="C877" s="39"/>
      <c r="D877" s="39"/>
      <c r="E877" s="39"/>
      <c r="F877" s="39"/>
      <c r="G877" s="39"/>
      <c r="H877" s="39"/>
      <c r="I877" s="39"/>
    </row>
    <row r="878">
      <c r="A878" s="41"/>
      <c r="B878" s="20"/>
      <c r="C878" s="39"/>
      <c r="D878" s="39"/>
      <c r="E878" s="39"/>
      <c r="F878" s="39"/>
      <c r="G878" s="39"/>
      <c r="H878" s="39"/>
      <c r="I878" s="39"/>
    </row>
    <row r="879">
      <c r="A879" s="41"/>
      <c r="B879" s="20"/>
      <c r="C879" s="39"/>
      <c r="D879" s="39"/>
      <c r="E879" s="39"/>
      <c r="F879" s="39"/>
      <c r="G879" s="39"/>
      <c r="H879" s="39"/>
      <c r="I879" s="39"/>
    </row>
    <row r="880">
      <c r="A880" s="41"/>
      <c r="B880" s="20"/>
      <c r="C880" s="39"/>
      <c r="D880" s="39"/>
      <c r="E880" s="39"/>
      <c r="F880" s="39"/>
      <c r="G880" s="39"/>
      <c r="H880" s="39"/>
      <c r="I880" s="39"/>
    </row>
    <row r="881">
      <c r="A881" s="41"/>
      <c r="B881" s="20"/>
      <c r="C881" s="39"/>
      <c r="D881" s="39"/>
      <c r="E881" s="39"/>
      <c r="F881" s="39"/>
      <c r="G881" s="39"/>
      <c r="H881" s="39"/>
      <c r="I881" s="39"/>
    </row>
    <row r="882">
      <c r="A882" s="41"/>
      <c r="B882" s="20"/>
      <c r="C882" s="39"/>
      <c r="D882" s="39"/>
      <c r="E882" s="39"/>
      <c r="F882" s="39"/>
      <c r="G882" s="39"/>
      <c r="H882" s="39"/>
      <c r="I882" s="39"/>
    </row>
    <row r="883">
      <c r="A883" s="41"/>
      <c r="B883" s="20"/>
      <c r="C883" s="39"/>
      <c r="D883" s="39"/>
      <c r="E883" s="39"/>
      <c r="F883" s="39"/>
      <c r="G883" s="39"/>
      <c r="H883" s="39"/>
      <c r="I883" s="39"/>
    </row>
    <row r="884">
      <c r="A884" s="41"/>
      <c r="B884" s="20"/>
      <c r="C884" s="39"/>
      <c r="D884" s="39"/>
      <c r="E884" s="39"/>
      <c r="F884" s="39"/>
      <c r="G884" s="39"/>
      <c r="H884" s="39"/>
      <c r="I884" s="39"/>
    </row>
    <row r="885">
      <c r="A885" s="41"/>
      <c r="B885" s="20"/>
      <c r="C885" s="39"/>
      <c r="D885" s="39"/>
      <c r="E885" s="39"/>
      <c r="F885" s="39"/>
      <c r="G885" s="39"/>
      <c r="H885" s="39"/>
      <c r="I885" s="39"/>
    </row>
    <row r="886">
      <c r="A886" s="41"/>
      <c r="B886" s="20"/>
      <c r="C886" s="39"/>
      <c r="D886" s="39"/>
      <c r="E886" s="39"/>
      <c r="F886" s="39"/>
      <c r="G886" s="39"/>
      <c r="H886" s="39"/>
      <c r="I886" s="39"/>
    </row>
    <row r="887">
      <c r="A887" s="41"/>
      <c r="B887" s="20"/>
      <c r="C887" s="39"/>
      <c r="D887" s="39"/>
      <c r="E887" s="39"/>
      <c r="F887" s="39"/>
      <c r="G887" s="39"/>
      <c r="H887" s="39"/>
      <c r="I887" s="39"/>
    </row>
    <row r="888">
      <c r="A888" s="41"/>
      <c r="B888" s="20"/>
      <c r="C888" s="39"/>
      <c r="D888" s="39"/>
      <c r="E888" s="39"/>
      <c r="F888" s="39"/>
      <c r="G888" s="39"/>
      <c r="H888" s="39"/>
      <c r="I888" s="39"/>
    </row>
    <row r="889">
      <c r="A889" s="41"/>
      <c r="B889" s="20"/>
      <c r="C889" s="39"/>
      <c r="D889" s="39"/>
      <c r="E889" s="39"/>
      <c r="F889" s="39"/>
      <c r="G889" s="39"/>
      <c r="H889" s="39"/>
      <c r="I889" s="39"/>
    </row>
    <row r="890">
      <c r="A890" s="41"/>
      <c r="B890" s="20"/>
      <c r="C890" s="39"/>
      <c r="D890" s="39"/>
      <c r="E890" s="39"/>
      <c r="F890" s="39"/>
      <c r="G890" s="39"/>
      <c r="H890" s="39"/>
      <c r="I890" s="39"/>
    </row>
    <row r="891">
      <c r="A891" s="41"/>
      <c r="B891" s="20"/>
      <c r="C891" s="39"/>
      <c r="D891" s="39"/>
      <c r="E891" s="39"/>
      <c r="F891" s="39"/>
      <c r="G891" s="39"/>
      <c r="H891" s="39"/>
      <c r="I891" s="39"/>
    </row>
    <row r="892">
      <c r="A892" s="41"/>
      <c r="B892" s="20"/>
      <c r="C892" s="39"/>
      <c r="D892" s="39"/>
      <c r="E892" s="39"/>
      <c r="F892" s="39"/>
      <c r="G892" s="39"/>
      <c r="H892" s="39"/>
      <c r="I892" s="39"/>
    </row>
    <row r="893">
      <c r="A893" s="41"/>
      <c r="B893" s="20"/>
      <c r="C893" s="39"/>
      <c r="D893" s="39"/>
      <c r="E893" s="39"/>
      <c r="F893" s="39"/>
      <c r="G893" s="39"/>
      <c r="H893" s="39"/>
      <c r="I893" s="39"/>
    </row>
    <row r="894">
      <c r="A894" s="41"/>
      <c r="B894" s="20"/>
      <c r="C894" s="39"/>
      <c r="D894" s="39"/>
      <c r="E894" s="39"/>
      <c r="F894" s="39"/>
      <c r="G894" s="39"/>
      <c r="H894" s="39"/>
      <c r="I894" s="39"/>
    </row>
    <row r="895">
      <c r="A895" s="41"/>
      <c r="B895" s="20"/>
      <c r="C895" s="39"/>
      <c r="D895" s="39"/>
      <c r="E895" s="39"/>
      <c r="F895" s="39"/>
      <c r="G895" s="39"/>
      <c r="H895" s="39"/>
      <c r="I895" s="39"/>
    </row>
    <row r="896">
      <c r="A896" s="41"/>
      <c r="B896" s="20"/>
      <c r="C896" s="39"/>
      <c r="D896" s="39"/>
      <c r="E896" s="39"/>
      <c r="F896" s="39"/>
      <c r="G896" s="39"/>
      <c r="H896" s="39"/>
      <c r="I896" s="39"/>
    </row>
    <row r="897">
      <c r="A897" s="41"/>
      <c r="B897" s="20"/>
      <c r="C897" s="39"/>
      <c r="D897" s="39"/>
      <c r="E897" s="39"/>
      <c r="F897" s="39"/>
      <c r="G897" s="39"/>
      <c r="H897" s="39"/>
      <c r="I897" s="39"/>
    </row>
    <row r="898">
      <c r="A898" s="41"/>
      <c r="B898" s="20"/>
      <c r="C898" s="39"/>
      <c r="D898" s="39"/>
      <c r="E898" s="39"/>
      <c r="F898" s="39"/>
      <c r="G898" s="39"/>
      <c r="H898" s="39"/>
      <c r="I898" s="39"/>
    </row>
    <row r="899">
      <c r="A899" s="41"/>
      <c r="B899" s="20"/>
      <c r="C899" s="39"/>
      <c r="D899" s="39"/>
      <c r="E899" s="39"/>
      <c r="F899" s="39"/>
      <c r="G899" s="39"/>
      <c r="H899" s="39"/>
      <c r="I899" s="39"/>
    </row>
    <row r="900">
      <c r="A900" s="41"/>
      <c r="B900" s="20"/>
      <c r="C900" s="39"/>
      <c r="D900" s="39"/>
      <c r="E900" s="39"/>
      <c r="F900" s="39"/>
      <c r="G900" s="39"/>
      <c r="H900" s="39"/>
      <c r="I900" s="39"/>
    </row>
    <row r="901">
      <c r="A901" s="41"/>
      <c r="B901" s="20"/>
      <c r="C901" s="39"/>
      <c r="D901" s="39"/>
      <c r="E901" s="39"/>
      <c r="F901" s="39"/>
      <c r="G901" s="39"/>
      <c r="H901" s="39"/>
      <c r="I901" s="39"/>
    </row>
    <row r="902">
      <c r="A902" s="41"/>
      <c r="B902" s="20"/>
      <c r="C902" s="39"/>
      <c r="D902" s="39"/>
      <c r="E902" s="39"/>
      <c r="F902" s="39"/>
      <c r="G902" s="39"/>
      <c r="H902" s="39"/>
      <c r="I902" s="39"/>
    </row>
    <row r="903">
      <c r="A903" s="41"/>
      <c r="B903" s="20"/>
      <c r="C903" s="39"/>
      <c r="D903" s="39"/>
      <c r="E903" s="39"/>
      <c r="F903" s="39"/>
      <c r="G903" s="39"/>
      <c r="H903" s="39"/>
      <c r="I903" s="39"/>
    </row>
    <row r="904">
      <c r="A904" s="41"/>
      <c r="B904" s="20"/>
      <c r="C904" s="39"/>
      <c r="D904" s="39"/>
      <c r="E904" s="39"/>
      <c r="F904" s="39"/>
      <c r="G904" s="39"/>
      <c r="H904" s="39"/>
      <c r="I904" s="39"/>
    </row>
    <row r="905">
      <c r="A905" s="41"/>
      <c r="B905" s="20"/>
      <c r="C905" s="39"/>
      <c r="D905" s="39"/>
      <c r="E905" s="39"/>
      <c r="F905" s="39"/>
      <c r="G905" s="39"/>
      <c r="H905" s="39"/>
      <c r="I905" s="39"/>
    </row>
    <row r="906">
      <c r="A906" s="41"/>
      <c r="B906" s="20"/>
      <c r="C906" s="39"/>
      <c r="D906" s="39"/>
      <c r="E906" s="39"/>
      <c r="F906" s="39"/>
      <c r="G906" s="39"/>
      <c r="H906" s="39"/>
      <c r="I906" s="39"/>
    </row>
    <row r="907">
      <c r="A907" s="41"/>
      <c r="B907" s="20"/>
      <c r="C907" s="39"/>
      <c r="D907" s="39"/>
      <c r="E907" s="39"/>
      <c r="F907" s="39"/>
      <c r="G907" s="39"/>
      <c r="H907" s="39"/>
      <c r="I907" s="39"/>
    </row>
    <row r="908">
      <c r="A908" s="41"/>
      <c r="B908" s="20"/>
      <c r="C908" s="39"/>
      <c r="D908" s="39"/>
      <c r="E908" s="39"/>
      <c r="F908" s="39"/>
      <c r="G908" s="39"/>
      <c r="H908" s="39"/>
      <c r="I908" s="39"/>
    </row>
    <row r="909">
      <c r="A909" s="41"/>
      <c r="B909" s="20"/>
      <c r="C909" s="39"/>
      <c r="D909" s="39"/>
      <c r="E909" s="39"/>
      <c r="F909" s="39"/>
      <c r="G909" s="39"/>
      <c r="H909" s="39"/>
      <c r="I909" s="39"/>
    </row>
    <row r="910">
      <c r="A910" s="41"/>
      <c r="B910" s="20"/>
      <c r="C910" s="39"/>
      <c r="D910" s="39"/>
      <c r="E910" s="39"/>
      <c r="F910" s="39"/>
      <c r="G910" s="39"/>
      <c r="H910" s="39"/>
      <c r="I910" s="39"/>
    </row>
    <row r="911">
      <c r="A911" s="41"/>
      <c r="B911" s="20"/>
      <c r="C911" s="39"/>
      <c r="D911" s="39"/>
      <c r="E911" s="39"/>
      <c r="F911" s="39"/>
      <c r="G911" s="39"/>
      <c r="H911" s="39"/>
      <c r="I911" s="39"/>
    </row>
    <row r="912">
      <c r="A912" s="41"/>
      <c r="B912" s="20"/>
      <c r="C912" s="39"/>
      <c r="D912" s="39"/>
      <c r="E912" s="39"/>
      <c r="F912" s="39"/>
      <c r="G912" s="39"/>
      <c r="H912" s="39"/>
      <c r="I912" s="39"/>
    </row>
    <row r="913">
      <c r="A913" s="41"/>
      <c r="B913" s="20"/>
      <c r="C913" s="39"/>
      <c r="D913" s="39"/>
      <c r="E913" s="39"/>
      <c r="F913" s="39"/>
      <c r="G913" s="39"/>
      <c r="H913" s="39"/>
      <c r="I913" s="39"/>
    </row>
    <row r="914">
      <c r="A914" s="41"/>
      <c r="B914" s="20"/>
      <c r="C914" s="39"/>
      <c r="D914" s="39"/>
      <c r="E914" s="39"/>
      <c r="F914" s="39"/>
      <c r="G914" s="39"/>
      <c r="H914" s="39"/>
      <c r="I914" s="39"/>
    </row>
    <row r="915">
      <c r="A915" s="41"/>
      <c r="B915" s="20"/>
      <c r="C915" s="39"/>
      <c r="D915" s="39"/>
      <c r="E915" s="39"/>
      <c r="F915" s="39"/>
      <c r="G915" s="39"/>
      <c r="H915" s="39"/>
      <c r="I915" s="39"/>
    </row>
    <row r="916">
      <c r="A916" s="41"/>
      <c r="B916" s="20"/>
      <c r="C916" s="39"/>
      <c r="D916" s="39"/>
      <c r="E916" s="39"/>
      <c r="F916" s="39"/>
      <c r="G916" s="39"/>
      <c r="H916" s="39"/>
      <c r="I916" s="39"/>
    </row>
    <row r="917">
      <c r="A917" s="41"/>
      <c r="B917" s="20"/>
      <c r="C917" s="39"/>
      <c r="D917" s="39"/>
      <c r="E917" s="39"/>
      <c r="F917" s="39"/>
      <c r="G917" s="39"/>
      <c r="H917" s="39"/>
      <c r="I917" s="39"/>
    </row>
    <row r="918">
      <c r="A918" s="41"/>
      <c r="B918" s="20"/>
      <c r="C918" s="39"/>
      <c r="D918" s="39"/>
      <c r="E918" s="39"/>
      <c r="F918" s="39"/>
      <c r="G918" s="39"/>
      <c r="H918" s="39"/>
      <c r="I918" s="39"/>
    </row>
    <row r="919">
      <c r="A919" s="41"/>
      <c r="B919" s="20"/>
      <c r="C919" s="39"/>
      <c r="D919" s="39"/>
      <c r="E919" s="39"/>
      <c r="F919" s="39"/>
      <c r="G919" s="39"/>
      <c r="H919" s="39"/>
      <c r="I919" s="39"/>
    </row>
    <row r="920">
      <c r="A920" s="41"/>
      <c r="B920" s="20"/>
      <c r="C920" s="39"/>
      <c r="D920" s="39"/>
      <c r="E920" s="39"/>
      <c r="F920" s="39"/>
      <c r="G920" s="39"/>
      <c r="H920" s="39"/>
      <c r="I920" s="39"/>
    </row>
    <row r="921">
      <c r="A921" s="41"/>
      <c r="B921" s="20"/>
      <c r="C921" s="39"/>
      <c r="D921" s="39"/>
      <c r="E921" s="39"/>
      <c r="F921" s="39"/>
      <c r="G921" s="39"/>
      <c r="H921" s="39"/>
      <c r="I921" s="39"/>
    </row>
    <row r="922">
      <c r="A922" s="41"/>
      <c r="B922" s="20"/>
      <c r="C922" s="39"/>
      <c r="D922" s="39"/>
      <c r="E922" s="39"/>
      <c r="F922" s="39"/>
      <c r="G922" s="39"/>
      <c r="H922" s="39"/>
      <c r="I922" s="39"/>
    </row>
    <row r="923">
      <c r="A923" s="41"/>
      <c r="B923" s="20"/>
      <c r="C923" s="39"/>
      <c r="D923" s="39"/>
      <c r="E923" s="39"/>
      <c r="F923" s="39"/>
      <c r="G923" s="39"/>
      <c r="H923" s="39"/>
      <c r="I923" s="39"/>
    </row>
    <row r="924">
      <c r="A924" s="41"/>
      <c r="B924" s="20"/>
      <c r="C924" s="39"/>
      <c r="D924" s="39"/>
      <c r="E924" s="39"/>
      <c r="F924" s="39"/>
      <c r="G924" s="39"/>
      <c r="H924" s="39"/>
      <c r="I924" s="39"/>
    </row>
    <row r="925">
      <c r="A925" s="41"/>
      <c r="B925" s="20"/>
      <c r="C925" s="39"/>
      <c r="D925" s="39"/>
      <c r="E925" s="39"/>
      <c r="F925" s="39"/>
      <c r="G925" s="39"/>
      <c r="H925" s="39"/>
      <c r="I925" s="39"/>
    </row>
    <row r="926">
      <c r="A926" s="41"/>
      <c r="B926" s="20"/>
      <c r="C926" s="39"/>
      <c r="D926" s="39"/>
      <c r="E926" s="39"/>
      <c r="F926" s="39"/>
      <c r="G926" s="39"/>
      <c r="H926" s="39"/>
      <c r="I926" s="39"/>
    </row>
    <row r="927">
      <c r="A927" s="41"/>
      <c r="B927" s="20"/>
      <c r="C927" s="39"/>
      <c r="D927" s="39"/>
      <c r="E927" s="39"/>
      <c r="F927" s="39"/>
      <c r="G927" s="39"/>
      <c r="H927" s="39"/>
      <c r="I927" s="39"/>
    </row>
    <row r="928">
      <c r="A928" s="41"/>
      <c r="B928" s="20"/>
      <c r="C928" s="39"/>
      <c r="D928" s="39"/>
      <c r="E928" s="39"/>
      <c r="F928" s="39"/>
      <c r="G928" s="39"/>
      <c r="H928" s="39"/>
      <c r="I928" s="39"/>
    </row>
    <row r="929">
      <c r="A929" s="41"/>
      <c r="B929" s="20"/>
      <c r="C929" s="39"/>
      <c r="D929" s="39"/>
      <c r="E929" s="39"/>
      <c r="F929" s="39"/>
      <c r="G929" s="39"/>
      <c r="H929" s="39"/>
      <c r="I929" s="39"/>
    </row>
    <row r="930">
      <c r="A930" s="41"/>
      <c r="B930" s="20"/>
      <c r="C930" s="39"/>
      <c r="D930" s="39"/>
      <c r="E930" s="39"/>
      <c r="F930" s="39"/>
      <c r="G930" s="39"/>
      <c r="H930" s="39"/>
      <c r="I930" s="39"/>
    </row>
    <row r="931">
      <c r="A931" s="41"/>
      <c r="B931" s="20"/>
      <c r="C931" s="39"/>
      <c r="D931" s="39"/>
      <c r="E931" s="39"/>
      <c r="F931" s="39"/>
      <c r="G931" s="39"/>
      <c r="H931" s="39"/>
      <c r="I931" s="39"/>
    </row>
    <row r="932">
      <c r="A932" s="41"/>
      <c r="B932" s="20"/>
      <c r="C932" s="39"/>
      <c r="D932" s="39"/>
      <c r="E932" s="39"/>
      <c r="F932" s="39"/>
      <c r="G932" s="39"/>
      <c r="H932" s="39"/>
      <c r="I932" s="39"/>
    </row>
    <row r="933">
      <c r="A933" s="41"/>
      <c r="B933" s="20"/>
      <c r="C933" s="39"/>
      <c r="D933" s="39"/>
      <c r="E933" s="39"/>
      <c r="F933" s="39"/>
      <c r="G933" s="39"/>
      <c r="H933" s="39"/>
      <c r="I933" s="39"/>
    </row>
    <row r="934">
      <c r="A934" s="41"/>
      <c r="B934" s="20"/>
      <c r="C934" s="39"/>
      <c r="D934" s="39"/>
      <c r="E934" s="39"/>
      <c r="F934" s="39"/>
      <c r="G934" s="39"/>
      <c r="H934" s="39"/>
      <c r="I934" s="39"/>
    </row>
    <row r="935">
      <c r="A935" s="41"/>
      <c r="B935" s="20"/>
      <c r="C935" s="39"/>
      <c r="D935" s="39"/>
      <c r="E935" s="39"/>
      <c r="F935" s="39"/>
      <c r="G935" s="39"/>
      <c r="H935" s="39"/>
      <c r="I935" s="39"/>
    </row>
    <row r="936">
      <c r="A936" s="41"/>
      <c r="B936" s="20"/>
      <c r="C936" s="39"/>
      <c r="D936" s="39"/>
      <c r="E936" s="39"/>
      <c r="F936" s="39"/>
      <c r="G936" s="39"/>
      <c r="H936" s="39"/>
      <c r="I936" s="39"/>
    </row>
    <row r="937">
      <c r="A937" s="41"/>
      <c r="B937" s="20"/>
      <c r="C937" s="39"/>
      <c r="D937" s="39"/>
      <c r="E937" s="39"/>
      <c r="F937" s="39"/>
      <c r="G937" s="39"/>
      <c r="H937" s="39"/>
      <c r="I937" s="39"/>
    </row>
    <row r="938">
      <c r="A938" s="41"/>
      <c r="B938" s="20"/>
      <c r="C938" s="39"/>
      <c r="D938" s="39"/>
      <c r="E938" s="39"/>
      <c r="F938" s="39"/>
      <c r="G938" s="39"/>
      <c r="H938" s="39"/>
      <c r="I938" s="39"/>
    </row>
    <row r="939">
      <c r="A939" s="41"/>
      <c r="B939" s="20"/>
      <c r="C939" s="39"/>
      <c r="D939" s="39"/>
      <c r="E939" s="39"/>
      <c r="F939" s="39"/>
      <c r="G939" s="39"/>
      <c r="H939" s="39"/>
      <c r="I939" s="39"/>
    </row>
    <row r="940">
      <c r="A940" s="41"/>
      <c r="B940" s="20"/>
      <c r="C940" s="39"/>
      <c r="D940" s="39"/>
      <c r="E940" s="39"/>
      <c r="F940" s="39"/>
      <c r="G940" s="39"/>
      <c r="H940" s="39"/>
      <c r="I940" s="39"/>
    </row>
    <row r="941">
      <c r="A941" s="41"/>
      <c r="B941" s="20"/>
      <c r="C941" s="39"/>
      <c r="D941" s="39"/>
      <c r="E941" s="39"/>
      <c r="F941" s="39"/>
      <c r="G941" s="39"/>
      <c r="H941" s="39"/>
      <c r="I941" s="39"/>
    </row>
    <row r="942">
      <c r="A942" s="41"/>
      <c r="B942" s="20"/>
      <c r="C942" s="39"/>
      <c r="D942" s="39"/>
      <c r="E942" s="39"/>
      <c r="F942" s="39"/>
      <c r="G942" s="39"/>
      <c r="H942" s="39"/>
      <c r="I942" s="39"/>
    </row>
    <row r="943">
      <c r="A943" s="41"/>
      <c r="B943" s="20"/>
      <c r="C943" s="39"/>
      <c r="D943" s="39"/>
      <c r="E943" s="39"/>
      <c r="F943" s="39"/>
      <c r="G943" s="39"/>
      <c r="H943" s="39"/>
      <c r="I943" s="39"/>
    </row>
    <row r="944">
      <c r="A944" s="41"/>
      <c r="B944" s="20"/>
      <c r="C944" s="39"/>
      <c r="D944" s="39"/>
      <c r="E944" s="39"/>
      <c r="F944" s="39"/>
      <c r="G944" s="39"/>
      <c r="H944" s="39"/>
      <c r="I944" s="39"/>
    </row>
    <row r="945">
      <c r="A945" s="41"/>
      <c r="B945" s="20"/>
      <c r="C945" s="39"/>
      <c r="D945" s="39"/>
      <c r="E945" s="39"/>
      <c r="F945" s="39"/>
      <c r="G945" s="39"/>
      <c r="H945" s="39"/>
      <c r="I945" s="39"/>
    </row>
    <row r="946">
      <c r="A946" s="41"/>
      <c r="B946" s="20"/>
      <c r="C946" s="39"/>
      <c r="D946" s="39"/>
      <c r="E946" s="39"/>
      <c r="F946" s="39"/>
      <c r="G946" s="39"/>
      <c r="H946" s="39"/>
      <c r="I946" s="39"/>
    </row>
    <row r="947">
      <c r="A947" s="41"/>
      <c r="B947" s="20"/>
      <c r="C947" s="39"/>
      <c r="D947" s="39"/>
      <c r="E947" s="39"/>
      <c r="F947" s="39"/>
      <c r="G947" s="39"/>
      <c r="H947" s="39"/>
      <c r="I947" s="39"/>
    </row>
    <row r="948">
      <c r="A948" s="41"/>
      <c r="B948" s="20"/>
      <c r="C948" s="39"/>
      <c r="D948" s="39"/>
      <c r="E948" s="39"/>
      <c r="F948" s="39"/>
      <c r="G948" s="39"/>
      <c r="H948" s="39"/>
      <c r="I948" s="39"/>
    </row>
    <row r="949">
      <c r="A949" s="41"/>
      <c r="B949" s="20"/>
      <c r="C949" s="39"/>
      <c r="D949" s="39"/>
      <c r="E949" s="39"/>
      <c r="F949" s="39"/>
      <c r="G949" s="39"/>
      <c r="H949" s="39"/>
      <c r="I949" s="39"/>
    </row>
    <row r="950">
      <c r="A950" s="41"/>
      <c r="B950" s="20"/>
      <c r="C950" s="39"/>
      <c r="D950" s="39"/>
      <c r="E950" s="39"/>
      <c r="F950" s="39"/>
      <c r="G950" s="39"/>
      <c r="H950" s="39"/>
      <c r="I950" s="39"/>
    </row>
    <row r="951">
      <c r="A951" s="41"/>
      <c r="B951" s="20"/>
      <c r="C951" s="39"/>
      <c r="D951" s="39"/>
      <c r="E951" s="39"/>
      <c r="F951" s="39"/>
      <c r="G951" s="39"/>
      <c r="H951" s="39"/>
      <c r="I951" s="39"/>
    </row>
    <row r="952">
      <c r="A952" s="41"/>
      <c r="B952" s="20"/>
      <c r="C952" s="39"/>
      <c r="D952" s="39"/>
      <c r="E952" s="39"/>
      <c r="F952" s="39"/>
      <c r="G952" s="39"/>
      <c r="H952" s="39"/>
      <c r="I952" s="39"/>
    </row>
    <row r="953">
      <c r="A953" s="41"/>
      <c r="B953" s="20"/>
      <c r="C953" s="39"/>
      <c r="D953" s="39"/>
      <c r="E953" s="39"/>
      <c r="F953" s="39"/>
      <c r="G953" s="39"/>
      <c r="H953" s="39"/>
      <c r="I953" s="39"/>
    </row>
    <row r="954">
      <c r="A954" s="41"/>
      <c r="B954" s="20"/>
      <c r="C954" s="39"/>
      <c r="D954" s="39"/>
      <c r="E954" s="39"/>
      <c r="F954" s="39"/>
      <c r="G954" s="39"/>
      <c r="H954" s="39"/>
      <c r="I954" s="39"/>
    </row>
    <row r="955">
      <c r="A955" s="41"/>
      <c r="B955" s="20"/>
      <c r="C955" s="39"/>
      <c r="D955" s="39"/>
      <c r="E955" s="39"/>
      <c r="F955" s="39"/>
      <c r="G955" s="39"/>
      <c r="H955" s="39"/>
      <c r="I955" s="39"/>
    </row>
    <row r="956">
      <c r="A956" s="41"/>
      <c r="B956" s="20"/>
      <c r="C956" s="39"/>
      <c r="D956" s="39"/>
      <c r="E956" s="39"/>
      <c r="F956" s="39"/>
      <c r="G956" s="39"/>
      <c r="H956" s="39"/>
      <c r="I956" s="39"/>
    </row>
    <row r="957">
      <c r="A957" s="41"/>
      <c r="B957" s="20"/>
      <c r="C957" s="39"/>
      <c r="D957" s="39"/>
      <c r="E957" s="39"/>
      <c r="F957" s="39"/>
      <c r="G957" s="39"/>
      <c r="H957" s="39"/>
      <c r="I957" s="39"/>
    </row>
    <row r="958">
      <c r="A958" s="41"/>
      <c r="B958" s="20"/>
      <c r="C958" s="39"/>
      <c r="D958" s="39"/>
      <c r="E958" s="39"/>
      <c r="F958" s="39"/>
      <c r="G958" s="39"/>
      <c r="H958" s="39"/>
      <c r="I958" s="39"/>
    </row>
    <row r="959">
      <c r="A959" s="41"/>
      <c r="B959" s="20"/>
      <c r="C959" s="39"/>
      <c r="D959" s="39"/>
      <c r="E959" s="39"/>
      <c r="F959" s="39"/>
      <c r="G959" s="39"/>
      <c r="H959" s="39"/>
      <c r="I959" s="39"/>
    </row>
    <row r="960">
      <c r="A960" s="41"/>
      <c r="B960" s="20"/>
      <c r="C960" s="39"/>
      <c r="D960" s="39"/>
      <c r="E960" s="39"/>
      <c r="F960" s="39"/>
      <c r="G960" s="39"/>
      <c r="H960" s="39"/>
      <c r="I960" s="39"/>
    </row>
    <row r="961">
      <c r="A961" s="41"/>
      <c r="B961" s="20"/>
      <c r="C961" s="39"/>
      <c r="D961" s="39"/>
      <c r="E961" s="39"/>
      <c r="F961" s="39"/>
      <c r="G961" s="39"/>
      <c r="H961" s="39"/>
      <c r="I961" s="39"/>
    </row>
    <row r="962">
      <c r="A962" s="41"/>
      <c r="B962" s="20"/>
      <c r="C962" s="39"/>
      <c r="D962" s="39"/>
      <c r="E962" s="39"/>
      <c r="F962" s="39"/>
      <c r="G962" s="39"/>
      <c r="H962" s="39"/>
      <c r="I962" s="39"/>
    </row>
    <row r="963">
      <c r="A963" s="41"/>
      <c r="B963" s="20"/>
      <c r="C963" s="39"/>
      <c r="D963" s="39"/>
      <c r="E963" s="39"/>
      <c r="F963" s="39"/>
      <c r="G963" s="39"/>
      <c r="H963" s="39"/>
      <c r="I963" s="39"/>
    </row>
    <row r="964">
      <c r="A964" s="41"/>
      <c r="B964" s="20"/>
      <c r="C964" s="39"/>
      <c r="D964" s="39"/>
      <c r="E964" s="39"/>
      <c r="F964" s="39"/>
      <c r="G964" s="39"/>
      <c r="H964" s="39"/>
      <c r="I964" s="39"/>
    </row>
    <row r="965">
      <c r="A965" s="41"/>
      <c r="B965" s="20"/>
      <c r="C965" s="39"/>
      <c r="D965" s="39"/>
      <c r="E965" s="39"/>
      <c r="F965" s="39"/>
      <c r="G965" s="39"/>
      <c r="H965" s="39"/>
      <c r="I965" s="39"/>
    </row>
    <row r="966">
      <c r="A966" s="41"/>
      <c r="B966" s="20"/>
      <c r="C966" s="39"/>
      <c r="D966" s="39"/>
      <c r="E966" s="39"/>
      <c r="F966" s="39"/>
      <c r="G966" s="39"/>
      <c r="H966" s="39"/>
      <c r="I966" s="39"/>
    </row>
    <row r="967">
      <c r="A967" s="41"/>
      <c r="B967" s="20"/>
      <c r="C967" s="39"/>
      <c r="D967" s="39"/>
      <c r="E967" s="39"/>
      <c r="F967" s="39"/>
      <c r="G967" s="39"/>
      <c r="H967" s="39"/>
      <c r="I967" s="39"/>
    </row>
    <row r="968">
      <c r="A968" s="41"/>
      <c r="B968" s="20"/>
      <c r="C968" s="39"/>
      <c r="D968" s="39"/>
      <c r="E968" s="39"/>
      <c r="F968" s="39"/>
      <c r="G968" s="39"/>
      <c r="H968" s="39"/>
      <c r="I968" s="39"/>
    </row>
    <row r="969">
      <c r="A969" s="41"/>
      <c r="B969" s="20"/>
      <c r="C969" s="39"/>
      <c r="D969" s="39"/>
      <c r="E969" s="39"/>
      <c r="F969" s="39"/>
      <c r="G969" s="39"/>
      <c r="H969" s="39"/>
      <c r="I969" s="39"/>
    </row>
    <row r="970">
      <c r="A970" s="41"/>
      <c r="B970" s="20"/>
      <c r="C970" s="39"/>
      <c r="D970" s="39"/>
      <c r="E970" s="39"/>
      <c r="F970" s="39"/>
      <c r="G970" s="39"/>
      <c r="H970" s="39"/>
      <c r="I970" s="39"/>
    </row>
    <row r="971">
      <c r="A971" s="41"/>
      <c r="B971" s="20"/>
      <c r="C971" s="39"/>
      <c r="D971" s="39"/>
      <c r="E971" s="39"/>
      <c r="F971" s="39"/>
      <c r="G971" s="39"/>
      <c r="H971" s="39"/>
      <c r="I971" s="39"/>
    </row>
    <row r="972">
      <c r="A972" s="41"/>
      <c r="B972" s="20"/>
      <c r="C972" s="39"/>
      <c r="D972" s="39"/>
      <c r="E972" s="39"/>
      <c r="F972" s="39"/>
      <c r="G972" s="39"/>
      <c r="H972" s="39"/>
      <c r="I972" s="39"/>
    </row>
    <row r="973">
      <c r="A973" s="41"/>
      <c r="B973" s="20"/>
      <c r="C973" s="39"/>
      <c r="D973" s="39"/>
      <c r="E973" s="39"/>
      <c r="F973" s="39"/>
      <c r="G973" s="39"/>
      <c r="H973" s="39"/>
      <c r="I973" s="39"/>
    </row>
    <row r="974">
      <c r="A974" s="41"/>
      <c r="B974" s="20"/>
      <c r="C974" s="39"/>
      <c r="D974" s="39"/>
      <c r="E974" s="39"/>
      <c r="F974" s="39"/>
      <c r="G974" s="39"/>
      <c r="H974" s="39"/>
      <c r="I974" s="39"/>
    </row>
    <row r="975">
      <c r="A975" s="41"/>
      <c r="B975" s="20"/>
      <c r="C975" s="39"/>
      <c r="D975" s="39"/>
      <c r="E975" s="39"/>
      <c r="F975" s="39"/>
      <c r="G975" s="39"/>
      <c r="H975" s="39"/>
      <c r="I975" s="39"/>
    </row>
    <row r="976">
      <c r="A976" s="41"/>
      <c r="B976" s="20"/>
      <c r="C976" s="39"/>
      <c r="D976" s="39"/>
      <c r="E976" s="39"/>
      <c r="F976" s="39"/>
      <c r="G976" s="39"/>
      <c r="H976" s="39"/>
      <c r="I976" s="39"/>
    </row>
    <row r="977">
      <c r="A977" s="41"/>
      <c r="B977" s="20"/>
      <c r="C977" s="39"/>
      <c r="D977" s="39"/>
      <c r="E977" s="39"/>
      <c r="F977" s="39"/>
      <c r="G977" s="39"/>
      <c r="H977" s="39"/>
      <c r="I977" s="39"/>
    </row>
    <row r="978">
      <c r="A978" s="41"/>
      <c r="B978" s="20"/>
      <c r="C978" s="39"/>
      <c r="D978" s="39"/>
      <c r="E978" s="39"/>
      <c r="F978" s="39"/>
      <c r="G978" s="39"/>
      <c r="H978" s="39"/>
      <c r="I978" s="39"/>
    </row>
    <row r="979">
      <c r="A979" s="41"/>
      <c r="B979" s="20"/>
      <c r="C979" s="39"/>
      <c r="D979" s="39"/>
      <c r="E979" s="39"/>
      <c r="F979" s="39"/>
      <c r="G979" s="39"/>
      <c r="H979" s="39"/>
      <c r="I979" s="39"/>
    </row>
    <row r="980">
      <c r="A980" s="41"/>
      <c r="B980" s="20"/>
      <c r="C980" s="39"/>
      <c r="D980" s="39"/>
      <c r="E980" s="39"/>
      <c r="F980" s="39"/>
      <c r="G980" s="39"/>
      <c r="H980" s="39"/>
      <c r="I980" s="39"/>
    </row>
    <row r="981">
      <c r="A981" s="41"/>
      <c r="B981" s="20"/>
      <c r="C981" s="39"/>
      <c r="D981" s="39"/>
      <c r="E981" s="39"/>
      <c r="F981" s="39"/>
      <c r="G981" s="39"/>
      <c r="H981" s="39"/>
      <c r="I981" s="39"/>
    </row>
    <row r="982">
      <c r="A982" s="41"/>
      <c r="B982" s="20"/>
      <c r="C982" s="39"/>
      <c r="D982" s="39"/>
      <c r="E982" s="39"/>
      <c r="F982" s="39"/>
      <c r="G982" s="39"/>
      <c r="H982" s="39"/>
      <c r="I982" s="39"/>
    </row>
    <row r="983">
      <c r="A983" s="41"/>
      <c r="B983" s="20"/>
      <c r="C983" s="39"/>
      <c r="D983" s="39"/>
      <c r="E983" s="39"/>
      <c r="F983" s="39"/>
      <c r="G983" s="39"/>
      <c r="H983" s="39"/>
      <c r="I983" s="39"/>
    </row>
    <row r="984">
      <c r="A984" s="41"/>
      <c r="B984" s="20"/>
      <c r="C984" s="39"/>
      <c r="D984" s="39"/>
      <c r="E984" s="39"/>
      <c r="F984" s="39"/>
      <c r="G984" s="39"/>
      <c r="H984" s="39"/>
      <c r="I984" s="39"/>
    </row>
    <row r="985">
      <c r="A985" s="41"/>
      <c r="B985" s="20"/>
      <c r="C985" s="39"/>
      <c r="D985" s="39"/>
      <c r="E985" s="39"/>
      <c r="F985" s="39"/>
      <c r="G985" s="39"/>
      <c r="H985" s="39"/>
      <c r="I985" s="39"/>
    </row>
    <row r="986">
      <c r="A986" s="41"/>
      <c r="B986" s="20"/>
      <c r="C986" s="39"/>
      <c r="D986" s="39"/>
      <c r="E986" s="39"/>
      <c r="F986" s="39"/>
      <c r="G986" s="39"/>
      <c r="H986" s="39"/>
      <c r="I986" s="39"/>
    </row>
    <row r="987">
      <c r="A987" s="41"/>
      <c r="B987" s="20"/>
      <c r="C987" s="39"/>
      <c r="D987" s="39"/>
      <c r="E987" s="39"/>
      <c r="F987" s="39"/>
      <c r="G987" s="39"/>
      <c r="H987" s="39"/>
      <c r="I987" s="39"/>
    </row>
    <row r="988">
      <c r="A988" s="41"/>
      <c r="B988" s="20"/>
      <c r="C988" s="39"/>
      <c r="D988" s="39"/>
      <c r="E988" s="39"/>
      <c r="F988" s="39"/>
      <c r="G988" s="39"/>
      <c r="H988" s="39"/>
      <c r="I988" s="39"/>
    </row>
    <row r="989">
      <c r="A989" s="41"/>
      <c r="B989" s="20"/>
      <c r="C989" s="39"/>
      <c r="D989" s="39"/>
      <c r="E989" s="39"/>
      <c r="F989" s="39"/>
      <c r="G989" s="39"/>
      <c r="H989" s="39"/>
      <c r="I989" s="39"/>
    </row>
    <row r="990">
      <c r="A990" s="41"/>
      <c r="B990" s="20"/>
      <c r="C990" s="39"/>
      <c r="D990" s="39"/>
      <c r="E990" s="39"/>
      <c r="F990" s="39"/>
      <c r="G990" s="39"/>
      <c r="H990" s="39"/>
      <c r="I990" s="39"/>
    </row>
    <row r="991">
      <c r="A991" s="41"/>
      <c r="B991" s="20"/>
      <c r="C991" s="39"/>
      <c r="D991" s="39"/>
      <c r="E991" s="39"/>
      <c r="F991" s="39"/>
      <c r="G991" s="39"/>
      <c r="H991" s="39"/>
      <c r="I991" s="39"/>
    </row>
    <row r="992">
      <c r="A992" s="41"/>
      <c r="B992" s="20"/>
      <c r="C992" s="39"/>
      <c r="D992" s="39"/>
      <c r="E992" s="39"/>
      <c r="F992" s="39"/>
      <c r="G992" s="39"/>
      <c r="H992" s="39"/>
      <c r="I992" s="39"/>
    </row>
    <row r="993">
      <c r="A993" s="41"/>
      <c r="B993" s="20"/>
      <c r="C993" s="39"/>
      <c r="D993" s="39"/>
      <c r="E993" s="39"/>
      <c r="F993" s="39"/>
      <c r="G993" s="39"/>
      <c r="H993" s="39"/>
      <c r="I993" s="39"/>
    </row>
    <row r="994">
      <c r="A994" s="41"/>
      <c r="B994" s="20"/>
      <c r="C994" s="39"/>
      <c r="D994" s="39"/>
      <c r="E994" s="39"/>
      <c r="F994" s="39"/>
      <c r="G994" s="39"/>
      <c r="H994" s="39"/>
      <c r="I994" s="39"/>
    </row>
    <row r="995">
      <c r="A995" s="41"/>
      <c r="B995" s="20"/>
      <c r="C995" s="39"/>
      <c r="D995" s="39"/>
      <c r="E995" s="39"/>
      <c r="F995" s="39"/>
      <c r="G995" s="39"/>
      <c r="H995" s="39"/>
      <c r="I995" s="39"/>
    </row>
    <row r="996">
      <c r="A996" s="41"/>
      <c r="B996" s="20"/>
      <c r="C996" s="39"/>
      <c r="D996" s="39"/>
      <c r="E996" s="39"/>
      <c r="F996" s="39"/>
      <c r="G996" s="39"/>
      <c r="H996" s="39"/>
      <c r="I996" s="39"/>
    </row>
    <row r="997">
      <c r="A997" s="41"/>
      <c r="B997" s="20"/>
      <c r="C997" s="39"/>
      <c r="D997" s="39"/>
      <c r="E997" s="39"/>
      <c r="F997" s="39"/>
      <c r="G997" s="39"/>
      <c r="H997" s="39"/>
      <c r="I997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88"/>
    <col customWidth="1" min="3" max="3" width="6.38"/>
    <col customWidth="1" min="4" max="4" width="6.63"/>
    <col customWidth="1" min="5" max="5" width="9.25"/>
    <col customWidth="1" min="6" max="6" width="11.5"/>
    <col customWidth="1" min="7" max="7" width="10.25"/>
    <col customWidth="1" min="8" max="8" width="7.88"/>
    <col customWidth="1" min="9" max="9" width="5.63"/>
    <col customWidth="1" min="10" max="10" width="12.0"/>
  </cols>
  <sheetData>
    <row r="1">
      <c r="A1" s="25" t="s">
        <v>29</v>
      </c>
      <c r="B1" s="25" t="s">
        <v>224</v>
      </c>
      <c r="C1" s="25" t="s">
        <v>225</v>
      </c>
      <c r="D1" s="25" t="s">
        <v>226</v>
      </c>
      <c r="E1" s="25" t="s">
        <v>227</v>
      </c>
      <c r="F1" s="25" t="s">
        <v>228</v>
      </c>
      <c r="G1" s="25" t="s">
        <v>229</v>
      </c>
      <c r="H1" s="25" t="s">
        <v>230</v>
      </c>
      <c r="I1" s="25" t="s">
        <v>36</v>
      </c>
      <c r="J1" s="25" t="s">
        <v>231</v>
      </c>
    </row>
    <row r="2">
      <c r="A2" s="23">
        <v>45890.47268944445</v>
      </c>
      <c r="B2" s="3" t="s">
        <v>232</v>
      </c>
      <c r="C2" s="3" t="s">
        <v>111</v>
      </c>
      <c r="D2" s="3" t="s">
        <v>233</v>
      </c>
      <c r="E2" s="24">
        <v>0.9</v>
      </c>
      <c r="F2" s="24">
        <v>1.0</v>
      </c>
      <c r="G2" s="24">
        <v>0.0</v>
      </c>
      <c r="H2" s="3" t="s">
        <v>234</v>
      </c>
      <c r="I2" s="3" t="s">
        <v>235</v>
      </c>
      <c r="J2" s="3" t="b">
        <v>0</v>
      </c>
    </row>
    <row r="3">
      <c r="A3" s="23">
        <v>45890.472694930555</v>
      </c>
      <c r="B3" s="3" t="s">
        <v>236</v>
      </c>
      <c r="C3" s="3">
        <v>215.32</v>
      </c>
      <c r="D3" s="3" t="s">
        <v>237</v>
      </c>
      <c r="E3" s="24">
        <v>0.8</v>
      </c>
      <c r="F3" s="24">
        <v>1.0</v>
      </c>
      <c r="G3" s="24">
        <v>0.0</v>
      </c>
      <c r="H3" s="3" t="s">
        <v>238</v>
      </c>
      <c r="I3" s="3" t="s">
        <v>235</v>
      </c>
      <c r="J3" s="3" t="b">
        <v>0</v>
      </c>
    </row>
    <row r="4">
      <c r="A4" s="23">
        <v>45890.47272237268</v>
      </c>
      <c r="B4" s="3" t="s">
        <v>232</v>
      </c>
      <c r="C4" s="3" t="s">
        <v>109</v>
      </c>
      <c r="D4" s="3" t="s">
        <v>85</v>
      </c>
      <c r="E4" s="24">
        <v>0.9</v>
      </c>
      <c r="F4" s="24">
        <v>1.0</v>
      </c>
      <c r="G4" s="24">
        <v>0.0</v>
      </c>
      <c r="H4" s="3" t="s">
        <v>239</v>
      </c>
      <c r="I4" s="3" t="s">
        <v>235</v>
      </c>
      <c r="J4" s="3" t="b">
        <v>0</v>
      </c>
    </row>
    <row r="5">
      <c r="A5" s="23">
        <v>45890.47273530092</v>
      </c>
      <c r="B5" s="3" t="s">
        <v>236</v>
      </c>
      <c r="C5" s="3">
        <v>-35.0</v>
      </c>
      <c r="D5" s="3" t="s">
        <v>87</v>
      </c>
      <c r="E5" s="24">
        <v>0.8</v>
      </c>
      <c r="F5" s="24">
        <v>1.0</v>
      </c>
      <c r="G5" s="24">
        <v>0.0</v>
      </c>
      <c r="H5" s="3" t="s">
        <v>240</v>
      </c>
      <c r="I5" s="3" t="s">
        <v>235</v>
      </c>
      <c r="J5" s="3" t="b">
        <v>0</v>
      </c>
    </row>
    <row r="6">
      <c r="A6" s="23">
        <v>45890.47278252315</v>
      </c>
      <c r="B6" s="3" t="s">
        <v>236</v>
      </c>
      <c r="C6" s="42">
        <v>100.0</v>
      </c>
      <c r="D6" s="3" t="s">
        <v>241</v>
      </c>
      <c r="E6" s="24">
        <v>0.8</v>
      </c>
      <c r="F6" s="24">
        <v>1.0</v>
      </c>
      <c r="G6" s="24">
        <v>0.0</v>
      </c>
      <c r="H6" s="3" t="s">
        <v>242</v>
      </c>
      <c r="I6" s="3" t="s">
        <v>235</v>
      </c>
      <c r="J6" s="3" t="b">
        <v>0</v>
      </c>
    </row>
    <row r="7">
      <c r="A7" s="23">
        <v>45890.47278873842</v>
      </c>
      <c r="B7" s="3" t="s">
        <v>236</v>
      </c>
      <c r="C7" s="42">
        <v>0.0</v>
      </c>
      <c r="D7" s="3" t="s">
        <v>243</v>
      </c>
      <c r="E7" s="24">
        <v>0.8</v>
      </c>
      <c r="F7" s="24">
        <v>1.0</v>
      </c>
      <c r="G7" s="24">
        <v>0.0</v>
      </c>
      <c r="H7" s="3" t="s">
        <v>242</v>
      </c>
      <c r="I7" s="3" t="s">
        <v>235</v>
      </c>
      <c r="J7" s="3" t="b">
        <v>0</v>
      </c>
    </row>
    <row r="8">
      <c r="A8" s="23">
        <v>45890.4728002662</v>
      </c>
      <c r="B8" s="3" t="s">
        <v>236</v>
      </c>
      <c r="C8" s="42">
        <v>100.0</v>
      </c>
      <c r="D8" s="3" t="s">
        <v>241</v>
      </c>
      <c r="E8" s="24">
        <v>0.8</v>
      </c>
      <c r="F8" s="24">
        <v>1.0</v>
      </c>
      <c r="G8" s="24">
        <v>0.0</v>
      </c>
      <c r="H8" s="3" t="s">
        <v>242</v>
      </c>
      <c r="I8" s="3" t="s">
        <v>235</v>
      </c>
      <c r="J8" s="3" t="b">
        <v>0</v>
      </c>
    </row>
    <row r="9">
      <c r="A9" s="23">
        <v>45890.472804386576</v>
      </c>
      <c r="B9" s="3" t="s">
        <v>236</v>
      </c>
      <c r="C9" s="42">
        <v>0.0</v>
      </c>
      <c r="D9" s="3" t="s">
        <v>243</v>
      </c>
      <c r="E9" s="24">
        <v>0.8</v>
      </c>
      <c r="F9" s="24">
        <v>1.0</v>
      </c>
      <c r="G9" s="24">
        <v>0.0</v>
      </c>
      <c r="H9" s="3" t="s">
        <v>242</v>
      </c>
      <c r="I9" s="3" t="s">
        <v>235</v>
      </c>
      <c r="J9" s="3" t="b">
        <v>0</v>
      </c>
    </row>
    <row r="10">
      <c r="A10" s="23">
        <v>45890.47282019676</v>
      </c>
      <c r="B10" s="3" t="s">
        <v>244</v>
      </c>
      <c r="C10" s="3" t="s">
        <v>245</v>
      </c>
      <c r="D10" s="3" t="s">
        <v>246</v>
      </c>
      <c r="E10" s="24">
        <v>0.6</v>
      </c>
      <c r="F10" s="24">
        <v>1.0</v>
      </c>
      <c r="G10" s="24">
        <v>0.0</v>
      </c>
      <c r="H10" s="3" t="s">
        <v>242</v>
      </c>
      <c r="I10" s="3" t="s">
        <v>235</v>
      </c>
      <c r="J10" s="3" t="b">
        <v>0</v>
      </c>
    </row>
    <row r="11">
      <c r="A11" s="23">
        <v>45890.47287201389</v>
      </c>
      <c r="B11" s="3" t="s">
        <v>244</v>
      </c>
      <c r="C11" s="3" t="s">
        <v>247</v>
      </c>
      <c r="D11" s="3" t="s">
        <v>246</v>
      </c>
      <c r="E11" s="24">
        <v>0.6</v>
      </c>
      <c r="F11" s="24">
        <v>2.0</v>
      </c>
      <c r="G11" s="24">
        <v>0.0</v>
      </c>
      <c r="H11" s="3" t="s">
        <v>242</v>
      </c>
      <c r="I11" s="3" t="s">
        <v>235</v>
      </c>
      <c r="J11" s="3" t="b">
        <v>0</v>
      </c>
    </row>
    <row r="12">
      <c r="A12" s="23">
        <v>45890.47287802083</v>
      </c>
      <c r="B12" s="3" t="s">
        <v>244</v>
      </c>
      <c r="C12" s="3" t="s">
        <v>248</v>
      </c>
      <c r="D12" s="3" t="s">
        <v>246</v>
      </c>
      <c r="E12" s="24">
        <v>0.6</v>
      </c>
      <c r="F12" s="24">
        <v>2.0</v>
      </c>
      <c r="G12" s="24">
        <v>0.0</v>
      </c>
      <c r="H12" s="3" t="s">
        <v>242</v>
      </c>
      <c r="I12" s="3" t="s">
        <v>235</v>
      </c>
      <c r="J12" s="3" t="b">
        <v>0</v>
      </c>
    </row>
    <row r="13">
      <c r="A13" s="23">
        <v>45890.47288274305</v>
      </c>
      <c r="B13" s="3" t="s">
        <v>244</v>
      </c>
      <c r="C13" s="3" t="s">
        <v>249</v>
      </c>
      <c r="D13" s="3" t="s">
        <v>246</v>
      </c>
      <c r="E13" s="24">
        <v>0.6</v>
      </c>
      <c r="F13" s="24">
        <v>2.0</v>
      </c>
      <c r="G13" s="24">
        <v>0.0</v>
      </c>
      <c r="H13" s="3" t="s">
        <v>242</v>
      </c>
      <c r="I13" s="3" t="s">
        <v>235</v>
      </c>
      <c r="J13" s="3" t="b">
        <v>0</v>
      </c>
    </row>
    <row r="14">
      <c r="A14" s="23">
        <v>45890.47334835648</v>
      </c>
      <c r="B14" s="3" t="s">
        <v>244</v>
      </c>
      <c r="C14" s="3" t="s">
        <v>250</v>
      </c>
      <c r="D14" s="3" t="s">
        <v>246</v>
      </c>
      <c r="E14" s="24">
        <v>0.6</v>
      </c>
      <c r="F14" s="24">
        <v>3.0</v>
      </c>
      <c r="G14" s="24">
        <v>0.0</v>
      </c>
      <c r="H14" s="3" t="s">
        <v>242</v>
      </c>
      <c r="I14" s="3" t="s">
        <v>235</v>
      </c>
      <c r="J14" s="3" t="b">
        <v>0</v>
      </c>
    </row>
    <row r="15">
      <c r="A15" s="23">
        <v>45890.47340857639</v>
      </c>
      <c r="B15" s="3" t="s">
        <v>244</v>
      </c>
      <c r="C15" s="3" t="s">
        <v>251</v>
      </c>
      <c r="D15" s="3" t="s">
        <v>246</v>
      </c>
      <c r="E15" s="24">
        <v>0.6</v>
      </c>
      <c r="F15" s="24">
        <v>7.0</v>
      </c>
      <c r="G15" s="24">
        <v>0.0</v>
      </c>
      <c r="H15" s="3" t="s">
        <v>242</v>
      </c>
      <c r="I15" s="3" t="s">
        <v>235</v>
      </c>
      <c r="J15" s="3" t="b">
        <v>0</v>
      </c>
    </row>
    <row r="16">
      <c r="A16" s="23">
        <v>45890.473432893516</v>
      </c>
      <c r="B16" s="3" t="s">
        <v>244</v>
      </c>
      <c r="C16" s="3" t="s">
        <v>252</v>
      </c>
      <c r="D16" s="3" t="s">
        <v>246</v>
      </c>
      <c r="E16" s="24">
        <v>0.6</v>
      </c>
      <c r="F16" s="24">
        <v>6.0</v>
      </c>
      <c r="G16" s="24">
        <v>0.0</v>
      </c>
      <c r="H16" s="3" t="s">
        <v>242</v>
      </c>
      <c r="I16" s="3" t="s">
        <v>235</v>
      </c>
      <c r="J16" s="3" t="b">
        <v>0</v>
      </c>
    </row>
    <row r="17">
      <c r="A17" s="23">
        <v>45890.47343949074</v>
      </c>
      <c r="B17" s="3" t="s">
        <v>244</v>
      </c>
      <c r="C17" s="3" t="s">
        <v>253</v>
      </c>
      <c r="D17" s="3" t="s">
        <v>246</v>
      </c>
      <c r="E17" s="24">
        <v>0.6</v>
      </c>
      <c r="F17" s="24">
        <v>6.0</v>
      </c>
      <c r="G17" s="24">
        <v>0.0</v>
      </c>
      <c r="H17" s="3" t="s">
        <v>242</v>
      </c>
      <c r="I17" s="3" t="s">
        <v>235</v>
      </c>
      <c r="J17" s="3" t="b">
        <v>0</v>
      </c>
    </row>
    <row r="18">
      <c r="A18" s="23">
        <v>45890.47339033565</v>
      </c>
      <c r="B18" s="3" t="s">
        <v>244</v>
      </c>
      <c r="C18" s="3" t="s">
        <v>254</v>
      </c>
      <c r="D18" s="3" t="s">
        <v>246</v>
      </c>
      <c r="E18" s="24">
        <v>0.6</v>
      </c>
      <c r="F18" s="24">
        <v>3.0</v>
      </c>
      <c r="G18" s="24">
        <v>0.0</v>
      </c>
      <c r="H18" s="3" t="s">
        <v>242</v>
      </c>
      <c r="I18" s="3" t="s">
        <v>235</v>
      </c>
      <c r="J18" s="3" t="b">
        <v>0</v>
      </c>
    </row>
    <row r="19">
      <c r="A19" s="23">
        <v>45890.47286822917</v>
      </c>
      <c r="B19" s="3" t="s">
        <v>244</v>
      </c>
      <c r="C19" s="3" t="s">
        <v>255</v>
      </c>
      <c r="D19" s="3" t="s">
        <v>246</v>
      </c>
      <c r="E19" s="24">
        <v>0.6</v>
      </c>
      <c r="F19" s="24">
        <v>1.0</v>
      </c>
      <c r="G19" s="24">
        <v>0.0</v>
      </c>
      <c r="H19" s="3" t="s">
        <v>242</v>
      </c>
      <c r="I19" s="3" t="s">
        <v>235</v>
      </c>
      <c r="J19" s="3" t="b">
        <v>0</v>
      </c>
    </row>
    <row r="20">
      <c r="A20" s="23">
        <v>45890.47340453704</v>
      </c>
      <c r="B20" s="3" t="s">
        <v>244</v>
      </c>
      <c r="C20" s="3" t="s">
        <v>256</v>
      </c>
      <c r="D20" s="3" t="s">
        <v>246</v>
      </c>
      <c r="E20" s="24">
        <v>0.6</v>
      </c>
      <c r="F20" s="24">
        <v>3.0</v>
      </c>
      <c r="G20" s="24">
        <v>0.0</v>
      </c>
      <c r="H20" s="3" t="s">
        <v>242</v>
      </c>
      <c r="I20" s="3" t="s">
        <v>235</v>
      </c>
      <c r="J20" s="3" t="b">
        <v>0</v>
      </c>
    </row>
    <row r="21">
      <c r="A21" s="23">
        <v>45890.47291793981</v>
      </c>
      <c r="B21" s="3" t="s">
        <v>244</v>
      </c>
      <c r="C21" s="3" t="s">
        <v>257</v>
      </c>
      <c r="D21" s="3" t="s">
        <v>258</v>
      </c>
      <c r="E21" s="24">
        <v>0.6</v>
      </c>
      <c r="F21" s="24">
        <v>2.0</v>
      </c>
      <c r="G21" s="24">
        <v>0.0</v>
      </c>
      <c r="H21" s="3" t="s">
        <v>242</v>
      </c>
      <c r="I21" s="3" t="s">
        <v>235</v>
      </c>
      <c r="J21" s="3" t="b">
        <v>0</v>
      </c>
    </row>
    <row r="22">
      <c r="A22" s="23">
        <v>45890.472921030094</v>
      </c>
      <c r="B22" s="3" t="s">
        <v>244</v>
      </c>
      <c r="C22" s="3" t="s">
        <v>259</v>
      </c>
      <c r="D22" s="3" t="s">
        <v>258</v>
      </c>
      <c r="E22" s="24">
        <v>0.6</v>
      </c>
      <c r="F22" s="24">
        <v>2.0</v>
      </c>
      <c r="G22" s="24">
        <v>0.0</v>
      </c>
      <c r="H22" s="3" t="s">
        <v>242</v>
      </c>
      <c r="I22" s="3" t="s">
        <v>235</v>
      </c>
      <c r="J22" s="3" t="b">
        <v>0</v>
      </c>
    </row>
    <row r="23">
      <c r="A23" s="23">
        <v>45890.47345921297</v>
      </c>
      <c r="B23" s="3" t="s">
        <v>244</v>
      </c>
      <c r="C23" s="3" t="s">
        <v>260</v>
      </c>
      <c r="D23" s="3" t="s">
        <v>258</v>
      </c>
      <c r="E23" s="24">
        <v>0.6</v>
      </c>
      <c r="F23" s="24">
        <v>3.0</v>
      </c>
      <c r="G23" s="24">
        <v>0.0</v>
      </c>
      <c r="H23" s="3" t="s">
        <v>242</v>
      </c>
      <c r="I23" s="3" t="s">
        <v>235</v>
      </c>
      <c r="J23" s="3" t="b">
        <v>0</v>
      </c>
    </row>
    <row r="24">
      <c r="A24" s="23">
        <v>45890.473466261574</v>
      </c>
      <c r="B24" s="3" t="s">
        <v>244</v>
      </c>
      <c r="C24" s="3" t="s">
        <v>261</v>
      </c>
      <c r="D24" s="3" t="s">
        <v>258</v>
      </c>
      <c r="E24" s="24">
        <v>0.6</v>
      </c>
      <c r="F24" s="24">
        <v>3.0</v>
      </c>
      <c r="G24" s="24">
        <v>0.0</v>
      </c>
      <c r="H24" s="3" t="s">
        <v>242</v>
      </c>
      <c r="I24" s="3" t="s">
        <v>235</v>
      </c>
      <c r="J24" s="3" t="b">
        <v>0</v>
      </c>
    </row>
    <row r="25">
      <c r="A25" s="23">
        <v>45890.47347375</v>
      </c>
      <c r="B25" s="3" t="s">
        <v>244</v>
      </c>
      <c r="C25" s="3" t="s">
        <v>262</v>
      </c>
      <c r="D25" s="3" t="s">
        <v>263</v>
      </c>
      <c r="E25" s="24">
        <v>0.6</v>
      </c>
      <c r="F25" s="24">
        <v>6.0</v>
      </c>
      <c r="G25" s="24">
        <v>0.0</v>
      </c>
      <c r="H25" s="3" t="s">
        <v>242</v>
      </c>
      <c r="I25" s="3" t="s">
        <v>235</v>
      </c>
      <c r="J25" s="3" t="b">
        <v>0</v>
      </c>
    </row>
    <row r="26">
      <c r="A26" s="23">
        <v>45890.47300861111</v>
      </c>
      <c r="B26" s="3" t="s">
        <v>236</v>
      </c>
      <c r="C26" s="3">
        <v>14.45</v>
      </c>
      <c r="D26" s="3" t="s">
        <v>80</v>
      </c>
      <c r="E26" s="24">
        <v>0.9</v>
      </c>
      <c r="F26" s="24">
        <v>1.0</v>
      </c>
      <c r="G26" s="24">
        <v>0.0</v>
      </c>
      <c r="H26" s="3" t="s">
        <v>264</v>
      </c>
      <c r="I26" s="3" t="s">
        <v>235</v>
      </c>
      <c r="J26" s="3" t="b">
        <v>0</v>
      </c>
    </row>
    <row r="27">
      <c r="A27" s="23">
        <v>45890.47301758102</v>
      </c>
      <c r="B27" s="3" t="s">
        <v>244</v>
      </c>
      <c r="C27" s="3" t="s">
        <v>265</v>
      </c>
      <c r="D27" s="3" t="s">
        <v>80</v>
      </c>
      <c r="E27" s="24">
        <v>0.8</v>
      </c>
      <c r="F27" s="24">
        <v>1.0</v>
      </c>
      <c r="G27" s="24">
        <v>0.0</v>
      </c>
      <c r="H27" s="3" t="s">
        <v>266</v>
      </c>
      <c r="I27" s="3" t="s">
        <v>235</v>
      </c>
      <c r="J27" s="3" t="b">
        <v>0</v>
      </c>
    </row>
    <row r="28">
      <c r="A28" s="23">
        <v>45890.47302398148</v>
      </c>
      <c r="B28" s="3" t="s">
        <v>267</v>
      </c>
      <c r="C28" s="3" t="s">
        <v>268</v>
      </c>
      <c r="D28" s="3" t="s">
        <v>269</v>
      </c>
      <c r="E28" s="24">
        <v>0.9</v>
      </c>
      <c r="F28" s="24">
        <v>1.0</v>
      </c>
      <c r="G28" s="24">
        <v>0.0</v>
      </c>
      <c r="H28" s="3" t="s">
        <v>270</v>
      </c>
      <c r="I28" s="3" t="s">
        <v>235</v>
      </c>
      <c r="J28" s="3" t="b">
        <v>0</v>
      </c>
    </row>
    <row r="29">
      <c r="A29" s="23">
        <v>45890.47302907407</v>
      </c>
      <c r="B29" s="3" t="s">
        <v>232</v>
      </c>
      <c r="C29" s="3" t="s">
        <v>271</v>
      </c>
      <c r="D29" s="3" t="s">
        <v>78</v>
      </c>
      <c r="E29" s="24">
        <v>0.9</v>
      </c>
      <c r="F29" s="24">
        <v>1.0</v>
      </c>
      <c r="G29" s="24">
        <v>0.0</v>
      </c>
      <c r="H29" s="3" t="s">
        <v>272</v>
      </c>
      <c r="I29" s="3" t="s">
        <v>235</v>
      </c>
      <c r="J29" s="3" t="b">
        <v>0</v>
      </c>
    </row>
    <row r="30">
      <c r="A30" s="23">
        <v>45890.47304146991</v>
      </c>
      <c r="B30" s="3" t="s">
        <v>236</v>
      </c>
      <c r="C30" s="3">
        <v>-14.45</v>
      </c>
      <c r="D30" s="3" t="s">
        <v>80</v>
      </c>
      <c r="E30" s="24">
        <v>0.8</v>
      </c>
      <c r="F30" s="24">
        <v>1.0</v>
      </c>
      <c r="G30" s="24">
        <v>0.0</v>
      </c>
      <c r="H30" s="3" t="s">
        <v>273</v>
      </c>
      <c r="I30" s="3" t="s">
        <v>235</v>
      </c>
      <c r="J30" s="3" t="b">
        <v>0</v>
      </c>
    </row>
    <row r="31">
      <c r="A31" s="23">
        <v>45890.4731028588</v>
      </c>
      <c r="B31" s="3" t="s">
        <v>244</v>
      </c>
      <c r="C31" s="3" t="s">
        <v>274</v>
      </c>
      <c r="D31" s="3" t="s">
        <v>246</v>
      </c>
      <c r="E31" s="24">
        <v>0.6</v>
      </c>
      <c r="F31" s="24">
        <v>1.0</v>
      </c>
      <c r="G31" s="24">
        <v>0.0</v>
      </c>
      <c r="H31" s="3" t="s">
        <v>242</v>
      </c>
      <c r="I31" s="3" t="s">
        <v>235</v>
      </c>
      <c r="J31" s="3" t="b">
        <v>0</v>
      </c>
    </row>
    <row r="32">
      <c r="A32" s="23">
        <v>45890.47310614583</v>
      </c>
      <c r="B32" s="3" t="s">
        <v>244</v>
      </c>
      <c r="C32" s="3" t="s">
        <v>275</v>
      </c>
      <c r="D32" s="3" t="s">
        <v>246</v>
      </c>
      <c r="E32" s="24">
        <v>0.6</v>
      </c>
      <c r="F32" s="24">
        <v>1.0</v>
      </c>
      <c r="G32" s="24">
        <v>0.0</v>
      </c>
      <c r="H32" s="3" t="s">
        <v>242</v>
      </c>
      <c r="I32" s="3" t="s">
        <v>235</v>
      </c>
      <c r="J32" s="3" t="b">
        <v>0</v>
      </c>
    </row>
    <row r="33">
      <c r="A33" s="23">
        <v>45890.47318939815</v>
      </c>
      <c r="B33" s="3" t="s">
        <v>244</v>
      </c>
      <c r="C33" s="3" t="s">
        <v>276</v>
      </c>
      <c r="D33" s="3" t="s">
        <v>246</v>
      </c>
      <c r="E33" s="24">
        <v>0.6</v>
      </c>
      <c r="F33" s="24">
        <v>2.0</v>
      </c>
      <c r="G33" s="24">
        <v>0.0</v>
      </c>
      <c r="H33" s="3" t="s">
        <v>242</v>
      </c>
      <c r="I33" s="3" t="s">
        <v>235</v>
      </c>
      <c r="J33" s="3" t="b">
        <v>0</v>
      </c>
    </row>
    <row r="34">
      <c r="A34" s="23">
        <v>45890.47319263889</v>
      </c>
      <c r="B34" s="3" t="s">
        <v>244</v>
      </c>
      <c r="C34" s="3" t="s">
        <v>277</v>
      </c>
      <c r="D34" s="3" t="s">
        <v>246</v>
      </c>
      <c r="E34" s="24">
        <v>0.6</v>
      </c>
      <c r="F34" s="24">
        <v>2.0</v>
      </c>
      <c r="G34" s="24">
        <v>0.0</v>
      </c>
      <c r="H34" s="3" t="s">
        <v>242</v>
      </c>
      <c r="I34" s="3" t="s">
        <v>235</v>
      </c>
      <c r="J34" s="3" t="b">
        <v>0</v>
      </c>
    </row>
    <row r="35">
      <c r="A35" s="23">
        <v>45890.47319539352</v>
      </c>
      <c r="B35" s="3" t="s">
        <v>244</v>
      </c>
      <c r="C35" s="3" t="s">
        <v>278</v>
      </c>
      <c r="D35" s="3" t="s">
        <v>246</v>
      </c>
      <c r="E35" s="24">
        <v>0.6</v>
      </c>
      <c r="F35" s="24">
        <v>2.0</v>
      </c>
      <c r="G35" s="24">
        <v>0.0</v>
      </c>
      <c r="H35" s="3" t="s">
        <v>242</v>
      </c>
      <c r="I35" s="3" t="s">
        <v>235</v>
      </c>
      <c r="J35" s="3" t="b">
        <v>0</v>
      </c>
    </row>
    <row r="36">
      <c r="A36" s="23">
        <v>45890.47321136574</v>
      </c>
      <c r="B36" s="3" t="s">
        <v>244</v>
      </c>
      <c r="C36" s="3" t="s">
        <v>279</v>
      </c>
      <c r="D36" s="3" t="s">
        <v>246</v>
      </c>
      <c r="E36" s="24">
        <v>0.6</v>
      </c>
      <c r="F36" s="24">
        <v>2.0</v>
      </c>
      <c r="G36" s="24">
        <v>0.0</v>
      </c>
      <c r="H36" s="3" t="s">
        <v>242</v>
      </c>
      <c r="I36" s="3" t="s">
        <v>235</v>
      </c>
      <c r="J36" s="3" t="b">
        <v>0</v>
      </c>
    </row>
    <row r="37">
      <c r="A37" s="23">
        <v>45890.47313677083</v>
      </c>
      <c r="B37" s="3" t="s">
        <v>244</v>
      </c>
      <c r="C37" s="3" t="s">
        <v>280</v>
      </c>
      <c r="D37" s="3" t="s">
        <v>246</v>
      </c>
      <c r="E37" s="24">
        <v>0.6</v>
      </c>
      <c r="F37" s="24">
        <v>1.0</v>
      </c>
      <c r="G37" s="24">
        <v>0.0</v>
      </c>
      <c r="H37" s="3" t="s">
        <v>242</v>
      </c>
      <c r="I37" s="3" t="s">
        <v>235</v>
      </c>
      <c r="J37" s="3" t="b">
        <v>0</v>
      </c>
    </row>
    <row r="38">
      <c r="A38" s="23">
        <v>45890.4732278125</v>
      </c>
      <c r="B38" s="3" t="s">
        <v>244</v>
      </c>
      <c r="C38" s="3" t="s">
        <v>281</v>
      </c>
      <c r="D38" s="3" t="s">
        <v>246</v>
      </c>
      <c r="E38" s="24">
        <v>0.6</v>
      </c>
      <c r="F38" s="24">
        <v>2.0</v>
      </c>
      <c r="G38" s="24">
        <v>0.0</v>
      </c>
      <c r="H38" s="3" t="s">
        <v>242</v>
      </c>
      <c r="I38" s="3" t="s">
        <v>235</v>
      </c>
      <c r="J38" s="3" t="b">
        <v>0</v>
      </c>
    </row>
    <row r="39">
      <c r="A39" s="23">
        <v>45890.47314439814</v>
      </c>
      <c r="B39" s="3" t="s">
        <v>244</v>
      </c>
      <c r="C39" s="3" t="s">
        <v>282</v>
      </c>
      <c r="D39" s="3" t="s">
        <v>246</v>
      </c>
      <c r="E39" s="24">
        <v>0.6</v>
      </c>
      <c r="F39" s="24">
        <v>1.0</v>
      </c>
      <c r="G39" s="24">
        <v>0.0</v>
      </c>
      <c r="H39" s="3" t="s">
        <v>242</v>
      </c>
      <c r="I39" s="3" t="s">
        <v>235</v>
      </c>
      <c r="J39" s="3" t="b">
        <v>0</v>
      </c>
    </row>
    <row r="40">
      <c r="A40" s="23">
        <v>45890.4731792824</v>
      </c>
      <c r="B40" s="3" t="s">
        <v>244</v>
      </c>
      <c r="C40" s="3" t="s">
        <v>283</v>
      </c>
      <c r="D40" s="3" t="s">
        <v>246</v>
      </c>
      <c r="E40" s="24">
        <v>0.6</v>
      </c>
      <c r="F40" s="24">
        <v>1.0</v>
      </c>
      <c r="G40" s="24">
        <v>0.0</v>
      </c>
      <c r="H40" s="3" t="s">
        <v>242</v>
      </c>
      <c r="I40" s="3" t="s">
        <v>235</v>
      </c>
      <c r="J40" s="3" t="b">
        <v>0</v>
      </c>
    </row>
    <row r="41">
      <c r="A41" s="23">
        <v>45890.47322270833</v>
      </c>
      <c r="B41" s="3" t="s">
        <v>244</v>
      </c>
      <c r="C41" s="3" t="s">
        <v>284</v>
      </c>
      <c r="D41" s="3" t="s">
        <v>246</v>
      </c>
      <c r="E41" s="24">
        <v>0.6</v>
      </c>
      <c r="F41" s="24">
        <v>1.0</v>
      </c>
      <c r="G41" s="24">
        <v>0.0</v>
      </c>
      <c r="H41" s="3" t="s">
        <v>242</v>
      </c>
      <c r="I41" s="3" t="s">
        <v>235</v>
      </c>
      <c r="J41" s="3" t="b">
        <v>0</v>
      </c>
    </row>
    <row r="42">
      <c r="A42" s="23">
        <v>45890.47323233796</v>
      </c>
      <c r="B42" s="3" t="s">
        <v>244</v>
      </c>
      <c r="C42" s="3" t="s">
        <v>285</v>
      </c>
      <c r="D42" s="3" t="s">
        <v>246</v>
      </c>
      <c r="E42" s="24">
        <v>0.6</v>
      </c>
      <c r="F42" s="24">
        <v>1.0</v>
      </c>
      <c r="G42" s="24">
        <v>0.0</v>
      </c>
      <c r="H42" s="3" t="s">
        <v>242</v>
      </c>
      <c r="I42" s="3" t="s">
        <v>235</v>
      </c>
      <c r="J42" s="3" t="b">
        <v>0</v>
      </c>
    </row>
    <row r="43">
      <c r="A43" s="23">
        <v>45890.47327494213</v>
      </c>
      <c r="B43" s="3" t="s">
        <v>244</v>
      </c>
      <c r="C43" s="43" t="s">
        <v>286</v>
      </c>
      <c r="D43" s="3" t="s">
        <v>258</v>
      </c>
      <c r="E43" s="24">
        <v>0.6</v>
      </c>
      <c r="F43" s="24">
        <v>2.0</v>
      </c>
      <c r="G43" s="24">
        <v>0.0</v>
      </c>
      <c r="H43" s="3" t="s">
        <v>242</v>
      </c>
      <c r="I43" s="3" t="s">
        <v>235</v>
      </c>
      <c r="J43" s="3" t="b">
        <v>0</v>
      </c>
    </row>
    <row r="44">
      <c r="A44" s="23">
        <v>45890.4733245949</v>
      </c>
      <c r="B44" s="3" t="s">
        <v>244</v>
      </c>
      <c r="C44" s="3" t="s">
        <v>287</v>
      </c>
      <c r="D44" s="3" t="s">
        <v>246</v>
      </c>
      <c r="E44" s="24">
        <v>0.6</v>
      </c>
      <c r="F44" s="24">
        <v>1.0</v>
      </c>
      <c r="G44" s="24">
        <v>0.0</v>
      </c>
      <c r="H44" s="3" t="s">
        <v>242</v>
      </c>
      <c r="I44" s="3" t="s">
        <v>235</v>
      </c>
      <c r="J44" s="3" t="b">
        <v>0</v>
      </c>
    </row>
    <row r="45">
      <c r="A45" s="23">
        <v>45890.47332775463</v>
      </c>
      <c r="B45" s="3" t="s">
        <v>244</v>
      </c>
      <c r="C45" s="3" t="s">
        <v>288</v>
      </c>
      <c r="D45" s="3" t="s">
        <v>246</v>
      </c>
      <c r="E45" s="24">
        <v>0.6</v>
      </c>
      <c r="F45" s="24">
        <v>1.0</v>
      </c>
      <c r="G45" s="24">
        <v>0.0</v>
      </c>
      <c r="H45" s="3" t="s">
        <v>242</v>
      </c>
      <c r="I45" s="3" t="s">
        <v>235</v>
      </c>
      <c r="J45" s="3" t="b">
        <v>0</v>
      </c>
    </row>
    <row r="46">
      <c r="A46" s="23">
        <v>45890.47333068287</v>
      </c>
      <c r="B46" s="3" t="s">
        <v>244</v>
      </c>
      <c r="C46" s="3" t="s">
        <v>289</v>
      </c>
      <c r="D46" s="3" t="s">
        <v>246</v>
      </c>
      <c r="E46" s="24">
        <v>0.6</v>
      </c>
      <c r="F46" s="24">
        <v>1.0</v>
      </c>
      <c r="G46" s="24">
        <v>0.0</v>
      </c>
      <c r="H46" s="3" t="s">
        <v>242</v>
      </c>
      <c r="I46" s="3" t="s">
        <v>235</v>
      </c>
      <c r="J46" s="3" t="b">
        <v>0</v>
      </c>
    </row>
    <row r="47">
      <c r="A47" s="23">
        <v>45890.47339326389</v>
      </c>
      <c r="B47" s="3" t="s">
        <v>244</v>
      </c>
      <c r="C47" s="3" t="s">
        <v>290</v>
      </c>
      <c r="D47" s="3" t="s">
        <v>246</v>
      </c>
      <c r="E47" s="24">
        <v>0.6</v>
      </c>
      <c r="F47" s="24">
        <v>1.0</v>
      </c>
      <c r="G47" s="24">
        <v>0.0</v>
      </c>
      <c r="H47" s="3" t="s">
        <v>242</v>
      </c>
      <c r="I47" s="3" t="s">
        <v>235</v>
      </c>
      <c r="J47" s="3" t="b">
        <v>0</v>
      </c>
    </row>
    <row r="48">
      <c r="A48" s="23">
        <v>45890.473400787036</v>
      </c>
      <c r="B48" s="3" t="s">
        <v>244</v>
      </c>
      <c r="C48" s="3" t="s">
        <v>291</v>
      </c>
      <c r="D48" s="3" t="s">
        <v>246</v>
      </c>
      <c r="E48" s="24">
        <v>0.6</v>
      </c>
      <c r="F48" s="24">
        <v>1.0</v>
      </c>
      <c r="G48" s="24">
        <v>0.0</v>
      </c>
      <c r="H48" s="3" t="s">
        <v>242</v>
      </c>
      <c r="I48" s="3" t="s">
        <v>235</v>
      </c>
      <c r="J48" s="3" t="b">
        <v>0</v>
      </c>
    </row>
    <row r="49">
      <c r="A49" s="23">
        <v>45890.47355976852</v>
      </c>
      <c r="B49" s="3" t="s">
        <v>244</v>
      </c>
      <c r="C49" s="3" t="s">
        <v>292</v>
      </c>
      <c r="D49" s="3" t="s">
        <v>246</v>
      </c>
      <c r="E49" s="24">
        <v>0.6</v>
      </c>
      <c r="F49" s="24">
        <v>2.0</v>
      </c>
      <c r="G49" s="24">
        <v>0.0</v>
      </c>
      <c r="H49" s="3" t="s">
        <v>293</v>
      </c>
      <c r="I49" s="3" t="s">
        <v>235</v>
      </c>
      <c r="J49" s="3" t="b">
        <v>0</v>
      </c>
    </row>
    <row r="50">
      <c r="A50" s="23">
        <v>45890.473510752316</v>
      </c>
      <c r="B50" s="3" t="s">
        <v>244</v>
      </c>
      <c r="C50" s="3" t="s">
        <v>294</v>
      </c>
      <c r="D50" s="3" t="s">
        <v>246</v>
      </c>
      <c r="E50" s="24">
        <v>0.6</v>
      </c>
      <c r="F50" s="24">
        <v>1.0</v>
      </c>
      <c r="G50" s="24">
        <v>0.0</v>
      </c>
      <c r="H50" s="3" t="s">
        <v>293</v>
      </c>
      <c r="I50" s="3" t="s">
        <v>235</v>
      </c>
      <c r="J50" s="3" t="b">
        <v>0</v>
      </c>
    </row>
    <row r="51">
      <c r="A51" s="23">
        <v>45890.47351472222</v>
      </c>
      <c r="B51" s="3" t="s">
        <v>244</v>
      </c>
      <c r="C51" s="3" t="s">
        <v>295</v>
      </c>
      <c r="D51" s="3" t="s">
        <v>246</v>
      </c>
      <c r="E51" s="24">
        <v>0.6</v>
      </c>
      <c r="F51" s="24">
        <v>1.0</v>
      </c>
      <c r="G51" s="24">
        <v>0.0</v>
      </c>
      <c r="H51" s="3" t="s">
        <v>293</v>
      </c>
      <c r="I51" s="3" t="s">
        <v>235</v>
      </c>
      <c r="J51" s="3" t="b">
        <v>0</v>
      </c>
    </row>
    <row r="52">
      <c r="A52" s="23">
        <v>45890.47351819444</v>
      </c>
      <c r="B52" s="3" t="s">
        <v>244</v>
      </c>
      <c r="C52" s="3" t="s">
        <v>296</v>
      </c>
      <c r="D52" s="3" t="s">
        <v>246</v>
      </c>
      <c r="E52" s="24">
        <v>0.6</v>
      </c>
      <c r="F52" s="24">
        <v>1.0</v>
      </c>
      <c r="G52" s="24">
        <v>0.0</v>
      </c>
      <c r="H52" s="3" t="s">
        <v>293</v>
      </c>
      <c r="I52" s="3" t="s">
        <v>235</v>
      </c>
      <c r="J52" s="3" t="b">
        <v>0</v>
      </c>
    </row>
    <row r="53">
      <c r="A53" s="23">
        <v>45890.47357495371</v>
      </c>
      <c r="B53" s="3" t="s">
        <v>244</v>
      </c>
      <c r="C53" s="3" t="s">
        <v>297</v>
      </c>
      <c r="D53" s="3" t="s">
        <v>246</v>
      </c>
      <c r="E53" s="24">
        <v>0.6</v>
      </c>
      <c r="F53" s="24">
        <v>2.0</v>
      </c>
      <c r="G53" s="24">
        <v>0.0</v>
      </c>
      <c r="H53" s="3" t="s">
        <v>293</v>
      </c>
      <c r="I53" s="3" t="s">
        <v>235</v>
      </c>
      <c r="J53" s="3" t="b">
        <v>0</v>
      </c>
    </row>
    <row r="54">
      <c r="A54" s="23">
        <v>45890.47352666667</v>
      </c>
      <c r="B54" s="3" t="s">
        <v>244</v>
      </c>
      <c r="C54" s="3" t="s">
        <v>298</v>
      </c>
      <c r="D54" s="3" t="s">
        <v>246</v>
      </c>
      <c r="E54" s="24">
        <v>0.6</v>
      </c>
      <c r="F54" s="24">
        <v>1.0</v>
      </c>
      <c r="G54" s="24">
        <v>0.0</v>
      </c>
      <c r="H54" s="3" t="s">
        <v>293</v>
      </c>
      <c r="I54" s="3" t="s">
        <v>235</v>
      </c>
      <c r="J54" s="3" t="b">
        <v>0</v>
      </c>
    </row>
    <row r="55">
      <c r="A55" s="23">
        <v>45890.47353063658</v>
      </c>
      <c r="B55" s="3" t="s">
        <v>244</v>
      </c>
      <c r="C55" s="3" t="s">
        <v>299</v>
      </c>
      <c r="D55" s="3" t="s">
        <v>246</v>
      </c>
      <c r="E55" s="24">
        <v>0.6</v>
      </c>
      <c r="F55" s="24">
        <v>1.0</v>
      </c>
      <c r="G55" s="24">
        <v>0.0</v>
      </c>
      <c r="H55" s="3" t="s">
        <v>293</v>
      </c>
      <c r="I55" s="3" t="s">
        <v>235</v>
      </c>
      <c r="J55" s="3" t="b">
        <v>0</v>
      </c>
    </row>
    <row r="56">
      <c r="A56" s="23">
        <v>45890.473534861114</v>
      </c>
      <c r="B56" s="3" t="s">
        <v>244</v>
      </c>
      <c r="C56" s="3" t="s">
        <v>300</v>
      </c>
      <c r="D56" s="3" t="s">
        <v>246</v>
      </c>
      <c r="E56" s="24">
        <v>0.6</v>
      </c>
      <c r="F56" s="24">
        <v>1.0</v>
      </c>
      <c r="G56" s="24">
        <v>0.0</v>
      </c>
      <c r="H56" s="3" t="s">
        <v>293</v>
      </c>
      <c r="I56" s="3" t="s">
        <v>235</v>
      </c>
      <c r="J56" s="3" t="b">
        <v>0</v>
      </c>
    </row>
    <row r="57">
      <c r="A57" s="23">
        <v>45890.47358899306</v>
      </c>
      <c r="B57" s="3" t="s">
        <v>244</v>
      </c>
      <c r="C57" s="3" t="s">
        <v>301</v>
      </c>
      <c r="D57" s="3" t="s">
        <v>246</v>
      </c>
      <c r="E57" s="24">
        <v>0.6</v>
      </c>
      <c r="F57" s="24">
        <v>2.0</v>
      </c>
      <c r="G57" s="24">
        <v>0.0</v>
      </c>
      <c r="H57" s="3" t="s">
        <v>293</v>
      </c>
      <c r="I57" s="3" t="s">
        <v>235</v>
      </c>
      <c r="J57" s="3" t="b">
        <v>0</v>
      </c>
    </row>
    <row r="58">
      <c r="A58" s="23">
        <v>45890.473554641205</v>
      </c>
      <c r="B58" s="3" t="s">
        <v>244</v>
      </c>
      <c r="C58" s="3" t="s">
        <v>302</v>
      </c>
      <c r="D58" s="3" t="s">
        <v>246</v>
      </c>
      <c r="E58" s="24">
        <v>0.6</v>
      </c>
      <c r="F58" s="24">
        <v>1.0</v>
      </c>
      <c r="G58" s="24">
        <v>0.0</v>
      </c>
      <c r="H58" s="3" t="s">
        <v>293</v>
      </c>
      <c r="I58" s="3" t="s">
        <v>235</v>
      </c>
      <c r="J58" s="3" t="b">
        <v>0</v>
      </c>
    </row>
    <row r="59">
      <c r="A59" s="23">
        <v>45890.47356363426</v>
      </c>
      <c r="B59" s="3" t="s">
        <v>244</v>
      </c>
      <c r="C59" s="3" t="s">
        <v>303</v>
      </c>
      <c r="D59" s="3" t="s">
        <v>246</v>
      </c>
      <c r="E59" s="24">
        <v>0.6</v>
      </c>
      <c r="F59" s="24">
        <v>1.0</v>
      </c>
      <c r="G59" s="24">
        <v>0.0</v>
      </c>
      <c r="H59" s="3" t="s">
        <v>293</v>
      </c>
      <c r="I59" s="3" t="s">
        <v>235</v>
      </c>
      <c r="J59" s="3" t="b">
        <v>0</v>
      </c>
    </row>
    <row r="60">
      <c r="A60" s="23">
        <v>45890.47356770834</v>
      </c>
      <c r="B60" s="3" t="s">
        <v>244</v>
      </c>
      <c r="C60" s="3" t="s">
        <v>304</v>
      </c>
      <c r="D60" s="3" t="s">
        <v>246</v>
      </c>
      <c r="E60" s="24">
        <v>0.6</v>
      </c>
      <c r="F60" s="24">
        <v>1.0</v>
      </c>
      <c r="G60" s="24">
        <v>0.0</v>
      </c>
      <c r="H60" s="3" t="s">
        <v>293</v>
      </c>
      <c r="I60" s="3" t="s">
        <v>235</v>
      </c>
      <c r="J60" s="3" t="b">
        <v>0</v>
      </c>
    </row>
    <row r="61">
      <c r="A61" s="23">
        <v>45890.473570752314</v>
      </c>
      <c r="B61" s="3" t="s">
        <v>244</v>
      </c>
      <c r="C61" s="3" t="s">
        <v>305</v>
      </c>
      <c r="D61" s="3" t="s">
        <v>246</v>
      </c>
      <c r="E61" s="24">
        <v>0.6</v>
      </c>
      <c r="F61" s="24">
        <v>1.0</v>
      </c>
      <c r="G61" s="24">
        <v>0.0</v>
      </c>
      <c r="H61" s="3" t="s">
        <v>293</v>
      </c>
      <c r="I61" s="3" t="s">
        <v>235</v>
      </c>
      <c r="J61" s="3" t="b">
        <v>0</v>
      </c>
    </row>
    <row r="62">
      <c r="A62" s="23">
        <v>45890.47357761574</v>
      </c>
      <c r="B62" s="3" t="s">
        <v>244</v>
      </c>
      <c r="C62" s="3" t="s">
        <v>306</v>
      </c>
      <c r="D62" s="3" t="s">
        <v>246</v>
      </c>
      <c r="E62" s="24">
        <v>0.6</v>
      </c>
      <c r="F62" s="24">
        <v>1.0</v>
      </c>
      <c r="G62" s="24">
        <v>0.0</v>
      </c>
      <c r="H62" s="3" t="s">
        <v>293</v>
      </c>
      <c r="I62" s="3" t="s">
        <v>235</v>
      </c>
      <c r="J62" s="3" t="b">
        <v>0</v>
      </c>
    </row>
    <row r="63">
      <c r="A63" s="23">
        <v>45890.4735815162</v>
      </c>
      <c r="B63" s="3" t="s">
        <v>244</v>
      </c>
      <c r="C63" s="3" t="s">
        <v>307</v>
      </c>
      <c r="D63" s="3" t="s">
        <v>246</v>
      </c>
      <c r="E63" s="24">
        <v>0.6</v>
      </c>
      <c r="F63" s="24">
        <v>1.0</v>
      </c>
      <c r="G63" s="24">
        <v>0.0</v>
      </c>
      <c r="H63" s="3" t="s">
        <v>293</v>
      </c>
      <c r="I63" s="3" t="s">
        <v>235</v>
      </c>
      <c r="J63" s="3" t="b">
        <v>0</v>
      </c>
    </row>
    <row r="64">
      <c r="A64" s="23">
        <v>45890.47358505787</v>
      </c>
      <c r="B64" s="3" t="s">
        <v>244</v>
      </c>
      <c r="C64" s="3" t="s">
        <v>308</v>
      </c>
      <c r="D64" s="3" t="s">
        <v>246</v>
      </c>
      <c r="E64" s="24">
        <v>0.6</v>
      </c>
      <c r="F64" s="24">
        <v>1.0</v>
      </c>
      <c r="G64" s="24">
        <v>0.0</v>
      </c>
      <c r="H64" s="3" t="s">
        <v>293</v>
      </c>
      <c r="I64" s="3" t="s">
        <v>235</v>
      </c>
      <c r="J64" s="3" t="b">
        <v>0</v>
      </c>
    </row>
    <row r="65">
      <c r="A65" s="23">
        <v>45890.47359197917</v>
      </c>
      <c r="B65" s="3" t="s">
        <v>244</v>
      </c>
      <c r="C65" s="3" t="s">
        <v>309</v>
      </c>
      <c r="D65" s="3" t="s">
        <v>246</v>
      </c>
      <c r="E65" s="24">
        <v>0.6</v>
      </c>
      <c r="F65" s="24">
        <v>1.0</v>
      </c>
      <c r="G65" s="24">
        <v>0.0</v>
      </c>
      <c r="H65" s="3" t="s">
        <v>293</v>
      </c>
      <c r="I65" s="3" t="s">
        <v>235</v>
      </c>
      <c r="J65" s="3" t="b">
        <v>0</v>
      </c>
    </row>
  </sheetData>
  <hyperlinks>
    <hyperlink r:id="rId1" ref="C4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3" max="3" width="44.75"/>
    <col customWidth="1" min="5" max="5" width="34.25"/>
  </cols>
  <sheetData>
    <row r="1">
      <c r="A1" s="26" t="s">
        <v>119</v>
      </c>
      <c r="B1" s="26" t="s">
        <v>310</v>
      </c>
      <c r="C1" s="44" t="s">
        <v>311</v>
      </c>
      <c r="D1" s="45" t="s">
        <v>312</v>
      </c>
      <c r="E1" s="45" t="s">
        <v>313</v>
      </c>
      <c r="F1" s="25" t="s">
        <v>121</v>
      </c>
    </row>
    <row r="2">
      <c r="A2" s="46" t="s">
        <v>128</v>
      </c>
      <c r="B2" s="47" t="s">
        <v>314</v>
      </c>
      <c r="C2" s="48">
        <v>20.0121</v>
      </c>
      <c r="D2" s="40">
        <v>60.95</v>
      </c>
      <c r="E2" s="40">
        <v>1219.737495</v>
      </c>
      <c r="F2" s="49">
        <v>45890.47364975694</v>
      </c>
    </row>
    <row r="3">
      <c r="A3" s="46" t="s">
        <v>128</v>
      </c>
      <c r="B3" s="50" t="s">
        <v>315</v>
      </c>
      <c r="C3" s="48">
        <v>13.541</v>
      </c>
      <c r="D3" s="40">
        <v>37.18</v>
      </c>
      <c r="E3" s="40">
        <v>503.45438</v>
      </c>
      <c r="F3" s="49">
        <v>45890.4736543287</v>
      </c>
    </row>
    <row r="4">
      <c r="A4" s="39"/>
      <c r="B4" s="51"/>
      <c r="C4" s="52"/>
      <c r="D4" s="53"/>
      <c r="E4" s="40">
        <f>SUM(E2:E3)</f>
        <v>1723.191875</v>
      </c>
    </row>
    <row r="5">
      <c r="A5" s="39"/>
      <c r="B5" s="51"/>
      <c r="C5" s="52"/>
      <c r="D5" s="53"/>
      <c r="E5" s="40"/>
    </row>
    <row r="6">
      <c r="A6" s="39"/>
      <c r="B6" s="51"/>
      <c r="C6" s="52"/>
      <c r="D6" s="53"/>
      <c r="E6" s="40"/>
    </row>
    <row r="7">
      <c r="A7" s="39"/>
      <c r="B7" s="51"/>
      <c r="C7" s="52"/>
      <c r="D7" s="53"/>
      <c r="E7" s="40"/>
    </row>
    <row r="8">
      <c r="A8" s="39"/>
      <c r="B8" s="51"/>
      <c r="C8" s="52"/>
      <c r="D8" s="53"/>
      <c r="E8" s="40"/>
    </row>
    <row r="9">
      <c r="A9" s="39"/>
      <c r="B9" s="51"/>
      <c r="C9" s="52"/>
      <c r="D9" s="53"/>
      <c r="E9" s="40"/>
    </row>
    <row r="10">
      <c r="A10" s="39"/>
      <c r="B10" s="51"/>
      <c r="C10" s="52"/>
      <c r="D10" s="53"/>
      <c r="E10" s="53"/>
    </row>
    <row r="11">
      <c r="A11" s="39"/>
      <c r="B11" s="51"/>
      <c r="C11" s="52"/>
      <c r="D11" s="53"/>
      <c r="E11" s="53"/>
    </row>
    <row r="12">
      <c r="A12" s="39"/>
      <c r="B12" s="51"/>
      <c r="C12" s="52"/>
      <c r="D12" s="53"/>
      <c r="E12" s="53"/>
    </row>
    <row r="13">
      <c r="A13" s="39"/>
      <c r="B13" s="51"/>
      <c r="C13" s="52"/>
      <c r="D13" s="53"/>
      <c r="E13" s="53"/>
    </row>
    <row r="14">
      <c r="A14" s="39"/>
      <c r="B14" s="51"/>
      <c r="C14" s="52"/>
      <c r="D14" s="53"/>
      <c r="E14" s="53"/>
    </row>
    <row r="15">
      <c r="A15" s="39"/>
      <c r="B15" s="51"/>
      <c r="C15" s="52"/>
      <c r="D15" s="53"/>
      <c r="E15" s="53"/>
    </row>
    <row r="16">
      <c r="A16" s="39"/>
      <c r="B16" s="51"/>
      <c r="C16" s="52"/>
      <c r="D16" s="53"/>
      <c r="E16" s="53"/>
    </row>
    <row r="17">
      <c r="A17" s="39"/>
      <c r="B17" s="51"/>
      <c r="C17" s="52"/>
      <c r="D17" s="53"/>
      <c r="E17" s="53"/>
    </row>
    <row r="18">
      <c r="A18" s="39"/>
      <c r="B18" s="51"/>
      <c r="C18" s="52"/>
      <c r="D18" s="53"/>
      <c r="E18" s="53"/>
    </row>
    <row r="19">
      <c r="A19" s="39"/>
      <c r="B19" s="51"/>
      <c r="C19" s="52"/>
      <c r="D19" s="53"/>
      <c r="E19" s="53"/>
    </row>
    <row r="20">
      <c r="A20" s="39"/>
      <c r="B20" s="51"/>
      <c r="C20" s="52"/>
      <c r="D20" s="53"/>
      <c r="E20" s="53"/>
    </row>
    <row r="21">
      <c r="A21" s="39"/>
      <c r="B21" s="51"/>
      <c r="C21" s="52"/>
      <c r="D21" s="53"/>
      <c r="E21" s="53"/>
    </row>
    <row r="22">
      <c r="A22" s="39"/>
      <c r="B22" s="51"/>
      <c r="C22" s="52"/>
      <c r="D22" s="53"/>
      <c r="E22" s="53"/>
    </row>
    <row r="23">
      <c r="A23" s="39"/>
      <c r="B23" s="51"/>
      <c r="C23" s="52"/>
      <c r="D23" s="53"/>
      <c r="E23" s="53"/>
    </row>
    <row r="24">
      <c r="A24" s="39"/>
      <c r="B24" s="51"/>
      <c r="C24" s="52"/>
      <c r="D24" s="53"/>
      <c r="E24" s="53"/>
    </row>
    <row r="25">
      <c r="A25" s="39"/>
      <c r="B25" s="51"/>
      <c r="C25" s="52"/>
      <c r="D25" s="53"/>
      <c r="E25" s="53"/>
    </row>
    <row r="26">
      <c r="A26" s="39"/>
      <c r="B26" s="51"/>
      <c r="C26" s="52"/>
      <c r="D26" s="53"/>
      <c r="E26" s="53"/>
    </row>
    <row r="27">
      <c r="A27" s="39"/>
      <c r="B27" s="51"/>
      <c r="C27" s="52"/>
      <c r="D27" s="53"/>
      <c r="E27" s="53"/>
    </row>
    <row r="28">
      <c r="A28" s="39"/>
      <c r="B28" s="51"/>
      <c r="C28" s="52"/>
      <c r="D28" s="53"/>
      <c r="E28" s="53"/>
    </row>
    <row r="29">
      <c r="A29" s="39"/>
      <c r="B29" s="51"/>
      <c r="C29" s="52"/>
      <c r="D29" s="53"/>
      <c r="E29" s="53"/>
    </row>
    <row r="30">
      <c r="A30" s="39"/>
      <c r="B30" s="51"/>
      <c r="C30" s="52"/>
      <c r="D30" s="53"/>
      <c r="E30" s="53"/>
    </row>
    <row r="31">
      <c r="A31" s="39"/>
      <c r="B31" s="51"/>
      <c r="C31" s="52"/>
      <c r="D31" s="53"/>
      <c r="E31" s="53"/>
    </row>
    <row r="32">
      <c r="A32" s="39"/>
      <c r="B32" s="51"/>
      <c r="C32" s="52"/>
      <c r="D32" s="53"/>
      <c r="E32" s="53"/>
    </row>
    <row r="33">
      <c r="A33" s="39"/>
      <c r="B33" s="51"/>
      <c r="C33" s="52"/>
      <c r="D33" s="53"/>
      <c r="E33" s="53"/>
    </row>
    <row r="34">
      <c r="A34" s="39"/>
      <c r="B34" s="51"/>
      <c r="C34" s="52"/>
      <c r="D34" s="53"/>
      <c r="E34" s="53"/>
    </row>
    <row r="35">
      <c r="A35" s="39"/>
      <c r="B35" s="51"/>
      <c r="C35" s="52"/>
      <c r="D35" s="53"/>
      <c r="E35" s="53"/>
    </row>
    <row r="36">
      <c r="A36" s="39"/>
      <c r="B36" s="51"/>
      <c r="C36" s="52"/>
      <c r="D36" s="53"/>
      <c r="E36" s="53"/>
    </row>
    <row r="37">
      <c r="A37" s="39"/>
      <c r="B37" s="51"/>
      <c r="C37" s="52"/>
      <c r="D37" s="53"/>
      <c r="E37" s="53"/>
    </row>
    <row r="38">
      <c r="A38" s="39"/>
      <c r="B38" s="51"/>
      <c r="C38" s="52"/>
      <c r="D38" s="53"/>
      <c r="E38" s="53"/>
    </row>
    <row r="39">
      <c r="A39" s="39"/>
      <c r="B39" s="51"/>
      <c r="C39" s="52"/>
      <c r="D39" s="53"/>
      <c r="E39" s="53"/>
    </row>
    <row r="40">
      <c r="A40" s="39"/>
      <c r="B40" s="51"/>
      <c r="C40" s="52"/>
      <c r="D40" s="53"/>
      <c r="E40" s="53"/>
    </row>
    <row r="41">
      <c r="A41" s="39"/>
      <c r="B41" s="51"/>
      <c r="C41" s="52"/>
      <c r="D41" s="53"/>
      <c r="E41" s="53"/>
    </row>
    <row r="42">
      <c r="A42" s="39"/>
      <c r="B42" s="51"/>
      <c r="C42" s="52"/>
      <c r="D42" s="53"/>
      <c r="E42" s="53"/>
    </row>
    <row r="43">
      <c r="A43" s="39"/>
      <c r="B43" s="51"/>
      <c r="C43" s="52"/>
      <c r="D43" s="53"/>
      <c r="E43" s="53"/>
    </row>
    <row r="44">
      <c r="A44" s="39"/>
      <c r="B44" s="51"/>
      <c r="C44" s="52"/>
      <c r="D44" s="53"/>
      <c r="E44" s="53"/>
    </row>
    <row r="45">
      <c r="A45" s="39"/>
      <c r="B45" s="51"/>
      <c r="C45" s="52"/>
      <c r="D45" s="53"/>
      <c r="E45" s="53"/>
    </row>
    <row r="46">
      <c r="A46" s="39"/>
      <c r="B46" s="51"/>
      <c r="C46" s="52"/>
      <c r="D46" s="53"/>
      <c r="E46" s="53"/>
    </row>
    <row r="47">
      <c r="A47" s="39"/>
      <c r="B47" s="51"/>
      <c r="C47" s="52"/>
      <c r="D47" s="53"/>
      <c r="E47" s="53"/>
    </row>
    <row r="48">
      <c r="A48" s="39"/>
      <c r="B48" s="51"/>
      <c r="C48" s="52"/>
      <c r="D48" s="53"/>
      <c r="E48" s="53"/>
    </row>
    <row r="49">
      <c r="A49" s="39"/>
      <c r="B49" s="51"/>
      <c r="C49" s="52"/>
      <c r="D49" s="53"/>
      <c r="E49" s="53"/>
    </row>
    <row r="50">
      <c r="A50" s="39"/>
      <c r="B50" s="51"/>
      <c r="C50" s="52"/>
      <c r="D50" s="53"/>
      <c r="E50" s="53"/>
    </row>
    <row r="51">
      <c r="A51" s="39"/>
      <c r="B51" s="51"/>
      <c r="C51" s="52"/>
      <c r="D51" s="53"/>
      <c r="E51" s="53"/>
    </row>
    <row r="52">
      <c r="A52" s="39"/>
      <c r="B52" s="51"/>
      <c r="C52" s="52"/>
      <c r="D52" s="53"/>
      <c r="E52" s="53"/>
    </row>
    <row r="53">
      <c r="A53" s="39"/>
      <c r="B53" s="51"/>
      <c r="C53" s="52"/>
      <c r="D53" s="53"/>
      <c r="E53" s="53"/>
    </row>
    <row r="54">
      <c r="A54" s="39"/>
      <c r="B54" s="51"/>
      <c r="C54" s="52"/>
      <c r="D54" s="53"/>
      <c r="E54" s="53"/>
    </row>
    <row r="55">
      <c r="A55" s="39"/>
      <c r="B55" s="51"/>
      <c r="C55" s="52"/>
      <c r="D55" s="53"/>
      <c r="E55" s="53"/>
    </row>
    <row r="56">
      <c r="A56" s="39"/>
      <c r="B56" s="51"/>
      <c r="C56" s="52"/>
      <c r="D56" s="53"/>
      <c r="E56" s="53"/>
    </row>
    <row r="57">
      <c r="A57" s="39"/>
      <c r="B57" s="51"/>
      <c r="C57" s="52"/>
      <c r="D57" s="53"/>
      <c r="E57" s="53"/>
    </row>
    <row r="58">
      <c r="A58" s="39"/>
      <c r="B58" s="51"/>
      <c r="C58" s="52"/>
      <c r="D58" s="53"/>
      <c r="E58" s="53"/>
    </row>
    <row r="59">
      <c r="A59" s="39"/>
      <c r="B59" s="51"/>
      <c r="C59" s="52"/>
      <c r="D59" s="53"/>
      <c r="E59" s="53"/>
    </row>
    <row r="60">
      <c r="A60" s="39"/>
      <c r="B60" s="51"/>
      <c r="C60" s="52"/>
      <c r="D60" s="53"/>
      <c r="E60" s="53"/>
    </row>
    <row r="61">
      <c r="A61" s="39"/>
      <c r="B61" s="51"/>
      <c r="C61" s="52"/>
      <c r="D61" s="53"/>
      <c r="E61" s="53"/>
    </row>
    <row r="62">
      <c r="A62" s="39"/>
      <c r="B62" s="51"/>
      <c r="C62" s="52"/>
      <c r="D62" s="53"/>
      <c r="E62" s="53"/>
    </row>
    <row r="63">
      <c r="A63" s="39"/>
      <c r="B63" s="51"/>
      <c r="C63" s="52"/>
      <c r="D63" s="53"/>
      <c r="E63" s="53"/>
    </row>
    <row r="64">
      <c r="A64" s="39"/>
      <c r="B64" s="51"/>
      <c r="C64" s="52"/>
      <c r="D64" s="53"/>
      <c r="E64" s="53"/>
    </row>
    <row r="65">
      <c r="A65" s="39"/>
      <c r="B65" s="51"/>
      <c r="C65" s="52"/>
      <c r="D65" s="53"/>
      <c r="E65" s="53"/>
    </row>
    <row r="66">
      <c r="A66" s="39"/>
      <c r="B66" s="51"/>
      <c r="C66" s="52"/>
      <c r="D66" s="53"/>
      <c r="E66" s="53"/>
    </row>
    <row r="67">
      <c r="A67" s="39"/>
      <c r="B67" s="51"/>
      <c r="C67" s="52"/>
      <c r="D67" s="53"/>
      <c r="E67" s="53"/>
    </row>
    <row r="68">
      <c r="A68" s="39"/>
      <c r="B68" s="51"/>
      <c r="C68" s="52"/>
      <c r="D68" s="53"/>
      <c r="E68" s="53"/>
    </row>
    <row r="69">
      <c r="A69" s="39"/>
      <c r="B69" s="51"/>
      <c r="C69" s="52"/>
      <c r="D69" s="53"/>
      <c r="E69" s="53"/>
    </row>
    <row r="70">
      <c r="A70" s="39"/>
      <c r="B70" s="51"/>
      <c r="C70" s="52"/>
      <c r="D70" s="53"/>
      <c r="E70" s="53"/>
    </row>
    <row r="71">
      <c r="A71" s="39"/>
      <c r="B71" s="51"/>
      <c r="C71" s="52"/>
      <c r="D71" s="53"/>
      <c r="E71" s="53"/>
    </row>
    <row r="72">
      <c r="A72" s="39"/>
      <c r="B72" s="51"/>
      <c r="C72" s="52"/>
      <c r="D72" s="53"/>
      <c r="E72" s="53"/>
    </row>
    <row r="73">
      <c r="A73" s="39"/>
      <c r="B73" s="51"/>
      <c r="C73" s="52"/>
      <c r="D73" s="53"/>
      <c r="E73" s="53"/>
    </row>
    <row r="74">
      <c r="A74" s="39"/>
      <c r="B74" s="51"/>
      <c r="C74" s="52"/>
      <c r="D74" s="53"/>
      <c r="E74" s="53"/>
    </row>
    <row r="75">
      <c r="A75" s="39"/>
      <c r="B75" s="51"/>
      <c r="C75" s="52"/>
      <c r="D75" s="53"/>
      <c r="E75" s="53"/>
    </row>
    <row r="76">
      <c r="A76" s="39"/>
      <c r="B76" s="51"/>
      <c r="C76" s="52"/>
      <c r="D76" s="53"/>
      <c r="E76" s="53"/>
    </row>
    <row r="77">
      <c r="A77" s="39"/>
      <c r="B77" s="51"/>
      <c r="C77" s="52"/>
      <c r="D77" s="53"/>
      <c r="E77" s="53"/>
    </row>
    <row r="78">
      <c r="A78" s="39"/>
      <c r="B78" s="51"/>
      <c r="C78" s="52"/>
      <c r="D78" s="53"/>
      <c r="E78" s="53"/>
    </row>
    <row r="79">
      <c r="A79" s="39"/>
      <c r="B79" s="51"/>
      <c r="C79" s="52"/>
      <c r="D79" s="53"/>
      <c r="E79" s="53"/>
    </row>
    <row r="80">
      <c r="A80" s="39"/>
      <c r="B80" s="51"/>
      <c r="C80" s="52"/>
      <c r="D80" s="53"/>
      <c r="E80" s="53"/>
    </row>
    <row r="81">
      <c r="A81" s="39"/>
      <c r="B81" s="51"/>
      <c r="C81" s="52"/>
      <c r="D81" s="53"/>
      <c r="E81" s="53"/>
    </row>
    <row r="82">
      <c r="A82" s="39"/>
      <c r="B82" s="51"/>
      <c r="C82" s="52"/>
      <c r="D82" s="53"/>
      <c r="E82" s="53"/>
    </row>
    <row r="83">
      <c r="A83" s="39"/>
      <c r="B83" s="51"/>
      <c r="C83" s="52"/>
      <c r="D83" s="53"/>
      <c r="E83" s="53"/>
    </row>
    <row r="84">
      <c r="A84" s="39"/>
      <c r="B84" s="51"/>
      <c r="C84" s="52"/>
      <c r="D84" s="53"/>
      <c r="E84" s="53"/>
    </row>
    <row r="85">
      <c r="A85" s="39"/>
      <c r="B85" s="51"/>
      <c r="C85" s="52"/>
      <c r="D85" s="53"/>
      <c r="E85" s="53"/>
    </row>
    <row r="86">
      <c r="A86" s="39"/>
      <c r="B86" s="51"/>
      <c r="C86" s="52"/>
      <c r="D86" s="53"/>
      <c r="E86" s="53"/>
    </row>
    <row r="87">
      <c r="A87" s="39"/>
      <c r="B87" s="51"/>
      <c r="C87" s="52"/>
      <c r="D87" s="53"/>
      <c r="E87" s="53"/>
    </row>
    <row r="88">
      <c r="A88" s="39"/>
      <c r="B88" s="51"/>
      <c r="C88" s="52"/>
      <c r="D88" s="53"/>
      <c r="E88" s="53"/>
    </row>
    <row r="89">
      <c r="A89" s="39"/>
      <c r="B89" s="51"/>
      <c r="C89" s="52"/>
      <c r="D89" s="53"/>
      <c r="E89" s="53"/>
    </row>
    <row r="90">
      <c r="A90" s="39"/>
      <c r="B90" s="51"/>
      <c r="C90" s="52"/>
      <c r="D90" s="53"/>
      <c r="E90" s="53"/>
    </row>
    <row r="91">
      <c r="A91" s="39"/>
      <c r="B91" s="51"/>
      <c r="C91" s="52"/>
      <c r="D91" s="53"/>
      <c r="E91" s="53"/>
    </row>
    <row r="92">
      <c r="A92" s="39"/>
      <c r="B92" s="51"/>
      <c r="C92" s="52"/>
      <c r="D92" s="53"/>
      <c r="E92" s="53"/>
    </row>
    <row r="93">
      <c r="A93" s="39"/>
      <c r="B93" s="51"/>
      <c r="C93" s="52"/>
      <c r="D93" s="53"/>
      <c r="E93" s="53"/>
    </row>
    <row r="94">
      <c r="A94" s="39"/>
      <c r="B94" s="51"/>
      <c r="C94" s="52"/>
      <c r="D94" s="53"/>
      <c r="E94" s="53"/>
    </row>
    <row r="95">
      <c r="A95" s="39"/>
      <c r="B95" s="51"/>
      <c r="C95" s="52"/>
      <c r="D95" s="53"/>
      <c r="E95" s="53"/>
    </row>
    <row r="96">
      <c r="A96" s="39"/>
      <c r="B96" s="51"/>
      <c r="C96" s="52"/>
      <c r="D96" s="53"/>
      <c r="E96" s="53"/>
    </row>
    <row r="97">
      <c r="A97" s="39"/>
      <c r="B97" s="51"/>
      <c r="C97" s="52"/>
      <c r="D97" s="53"/>
      <c r="E97" s="53"/>
    </row>
    <row r="98">
      <c r="A98" s="39"/>
      <c r="B98" s="51"/>
      <c r="C98" s="52"/>
      <c r="D98" s="53"/>
      <c r="E98" s="53"/>
    </row>
    <row r="99">
      <c r="A99" s="39"/>
      <c r="B99" s="51"/>
      <c r="C99" s="52"/>
      <c r="D99" s="53"/>
      <c r="E99" s="53"/>
    </row>
    <row r="100">
      <c r="A100" s="39"/>
      <c r="B100" s="51"/>
      <c r="C100" s="52"/>
      <c r="D100" s="53"/>
      <c r="E100" s="53"/>
    </row>
    <row r="101">
      <c r="A101" s="39"/>
      <c r="B101" s="51"/>
      <c r="C101" s="52"/>
      <c r="D101" s="53"/>
      <c r="E101" s="53"/>
    </row>
    <row r="102">
      <c r="A102" s="39"/>
      <c r="B102" s="51"/>
      <c r="C102" s="52"/>
      <c r="D102" s="53"/>
      <c r="E102" s="53"/>
    </row>
    <row r="103">
      <c r="A103" s="39"/>
      <c r="B103" s="51"/>
      <c r="C103" s="52"/>
      <c r="D103" s="53"/>
      <c r="E103" s="53"/>
    </row>
    <row r="104">
      <c r="A104" s="39"/>
      <c r="B104" s="51"/>
      <c r="C104" s="52"/>
      <c r="D104" s="53"/>
      <c r="E104" s="53"/>
    </row>
    <row r="105">
      <c r="A105" s="39"/>
      <c r="B105" s="51"/>
      <c r="C105" s="52"/>
      <c r="D105" s="53"/>
      <c r="E105" s="53"/>
    </row>
    <row r="106">
      <c r="A106" s="39"/>
      <c r="B106" s="51"/>
      <c r="C106" s="52"/>
      <c r="D106" s="53"/>
      <c r="E106" s="53"/>
    </row>
    <row r="107">
      <c r="A107" s="39"/>
      <c r="B107" s="51"/>
      <c r="C107" s="52"/>
      <c r="D107" s="53"/>
      <c r="E107" s="53"/>
    </row>
    <row r="108">
      <c r="A108" s="39"/>
      <c r="B108" s="51"/>
      <c r="C108" s="52"/>
      <c r="D108" s="53"/>
      <c r="E108" s="53"/>
    </row>
    <row r="109">
      <c r="A109" s="39"/>
      <c r="B109" s="51"/>
      <c r="C109" s="52"/>
      <c r="D109" s="53"/>
      <c r="E109" s="53"/>
    </row>
    <row r="110">
      <c r="A110" s="39"/>
      <c r="B110" s="51"/>
      <c r="C110" s="52"/>
      <c r="D110" s="53"/>
      <c r="E110" s="53"/>
    </row>
    <row r="111">
      <c r="A111" s="39"/>
      <c r="B111" s="51"/>
      <c r="C111" s="52"/>
      <c r="D111" s="53"/>
      <c r="E111" s="53"/>
    </row>
    <row r="112">
      <c r="A112" s="39"/>
      <c r="B112" s="51"/>
      <c r="C112" s="52"/>
      <c r="D112" s="53"/>
      <c r="E112" s="53"/>
    </row>
    <row r="113">
      <c r="A113" s="39"/>
      <c r="B113" s="51"/>
      <c r="C113" s="52"/>
      <c r="D113" s="53"/>
      <c r="E113" s="53"/>
    </row>
    <row r="114">
      <c r="A114" s="39"/>
      <c r="B114" s="51"/>
      <c r="C114" s="52"/>
      <c r="D114" s="53"/>
      <c r="E114" s="53"/>
    </row>
    <row r="115">
      <c r="A115" s="39"/>
      <c r="B115" s="51"/>
      <c r="C115" s="52"/>
      <c r="D115" s="53"/>
      <c r="E115" s="53"/>
    </row>
    <row r="116">
      <c r="A116" s="39"/>
      <c r="B116" s="51"/>
      <c r="C116" s="52"/>
      <c r="D116" s="53"/>
      <c r="E116" s="53"/>
    </row>
    <row r="117">
      <c r="A117" s="39"/>
      <c r="B117" s="51"/>
      <c r="C117" s="52"/>
      <c r="D117" s="53"/>
      <c r="E117" s="53"/>
    </row>
    <row r="118">
      <c r="A118" s="39"/>
      <c r="B118" s="51"/>
      <c r="C118" s="52"/>
      <c r="D118" s="53"/>
      <c r="E118" s="53"/>
    </row>
    <row r="119">
      <c r="A119" s="39"/>
      <c r="B119" s="51"/>
      <c r="C119" s="52"/>
      <c r="D119" s="53"/>
      <c r="E119" s="53"/>
    </row>
    <row r="120">
      <c r="A120" s="39"/>
      <c r="B120" s="51"/>
      <c r="C120" s="52"/>
      <c r="D120" s="53"/>
      <c r="E120" s="53"/>
    </row>
    <row r="121">
      <c r="A121" s="39"/>
      <c r="B121" s="51"/>
      <c r="C121" s="52"/>
      <c r="D121" s="53"/>
      <c r="E121" s="53"/>
    </row>
    <row r="122">
      <c r="A122" s="39"/>
      <c r="B122" s="51"/>
      <c r="C122" s="52"/>
      <c r="D122" s="53"/>
      <c r="E122" s="53"/>
    </row>
    <row r="123">
      <c r="A123" s="39"/>
      <c r="B123" s="51"/>
      <c r="C123" s="52"/>
      <c r="D123" s="53"/>
      <c r="E123" s="53"/>
    </row>
    <row r="124">
      <c r="A124" s="39"/>
      <c r="B124" s="51"/>
      <c r="C124" s="52"/>
      <c r="D124" s="53"/>
      <c r="E124" s="53"/>
    </row>
    <row r="125">
      <c r="A125" s="39"/>
      <c r="B125" s="51"/>
      <c r="C125" s="52"/>
      <c r="D125" s="53"/>
      <c r="E125" s="53"/>
    </row>
    <row r="126">
      <c r="A126" s="39"/>
      <c r="B126" s="51"/>
      <c r="C126" s="52"/>
      <c r="D126" s="53"/>
      <c r="E126" s="53"/>
    </row>
    <row r="127">
      <c r="A127" s="39"/>
      <c r="B127" s="51"/>
      <c r="C127" s="52"/>
      <c r="D127" s="53"/>
      <c r="E127" s="53"/>
    </row>
    <row r="128">
      <c r="A128" s="39"/>
      <c r="B128" s="51"/>
      <c r="C128" s="52"/>
      <c r="D128" s="53"/>
      <c r="E128" s="53"/>
    </row>
    <row r="129">
      <c r="A129" s="39"/>
      <c r="B129" s="51"/>
      <c r="C129" s="52"/>
      <c r="D129" s="53"/>
      <c r="E129" s="53"/>
    </row>
    <row r="130">
      <c r="A130" s="39"/>
      <c r="B130" s="51"/>
      <c r="C130" s="52"/>
      <c r="D130" s="53"/>
      <c r="E130" s="53"/>
    </row>
    <row r="131">
      <c r="A131" s="39"/>
      <c r="B131" s="51"/>
      <c r="C131" s="52"/>
      <c r="D131" s="53"/>
      <c r="E131" s="53"/>
    </row>
    <row r="132">
      <c r="A132" s="39"/>
      <c r="B132" s="51"/>
      <c r="C132" s="52"/>
      <c r="D132" s="53"/>
      <c r="E132" s="53"/>
    </row>
    <row r="133">
      <c r="A133" s="39"/>
      <c r="B133" s="51"/>
      <c r="C133" s="52"/>
      <c r="D133" s="53"/>
      <c r="E133" s="53"/>
    </row>
    <row r="134">
      <c r="A134" s="39"/>
      <c r="B134" s="51"/>
      <c r="C134" s="52"/>
      <c r="D134" s="53"/>
      <c r="E134" s="53"/>
    </row>
    <row r="135">
      <c r="A135" s="39"/>
      <c r="B135" s="51"/>
      <c r="C135" s="52"/>
      <c r="D135" s="53"/>
      <c r="E135" s="53"/>
    </row>
    <row r="136">
      <c r="A136" s="39"/>
      <c r="B136" s="51"/>
      <c r="C136" s="52"/>
      <c r="D136" s="53"/>
      <c r="E136" s="53"/>
    </row>
    <row r="137">
      <c r="A137" s="39"/>
      <c r="B137" s="51"/>
      <c r="C137" s="52"/>
      <c r="D137" s="53"/>
      <c r="E137" s="53"/>
    </row>
    <row r="138">
      <c r="A138" s="39"/>
      <c r="B138" s="51"/>
      <c r="C138" s="52"/>
      <c r="D138" s="53"/>
      <c r="E138" s="53"/>
    </row>
    <row r="139">
      <c r="A139" s="39"/>
      <c r="B139" s="51"/>
      <c r="C139" s="52"/>
      <c r="D139" s="53"/>
      <c r="E139" s="53"/>
    </row>
    <row r="140">
      <c r="A140" s="39"/>
      <c r="B140" s="51"/>
      <c r="C140" s="52"/>
      <c r="D140" s="53"/>
      <c r="E140" s="53"/>
    </row>
    <row r="141">
      <c r="A141" s="39"/>
      <c r="B141" s="51"/>
      <c r="C141" s="52"/>
      <c r="D141" s="53"/>
      <c r="E141" s="53"/>
    </row>
    <row r="142">
      <c r="A142" s="39"/>
      <c r="B142" s="51"/>
      <c r="C142" s="52"/>
      <c r="D142" s="53"/>
      <c r="E142" s="53"/>
    </row>
    <row r="143">
      <c r="A143" s="39"/>
      <c r="B143" s="51"/>
      <c r="C143" s="52"/>
      <c r="D143" s="53"/>
      <c r="E143" s="53"/>
    </row>
    <row r="144">
      <c r="A144" s="39"/>
      <c r="B144" s="51"/>
      <c r="C144" s="52"/>
      <c r="D144" s="53"/>
      <c r="E144" s="53"/>
    </row>
    <row r="145">
      <c r="A145" s="39"/>
      <c r="B145" s="51"/>
      <c r="C145" s="52"/>
      <c r="D145" s="53"/>
      <c r="E145" s="53"/>
    </row>
    <row r="146">
      <c r="A146" s="39"/>
      <c r="B146" s="51"/>
      <c r="C146" s="52"/>
      <c r="D146" s="53"/>
      <c r="E146" s="53"/>
    </row>
    <row r="147">
      <c r="A147" s="39"/>
      <c r="B147" s="51"/>
      <c r="C147" s="52"/>
      <c r="D147" s="53"/>
      <c r="E147" s="53"/>
    </row>
    <row r="148">
      <c r="A148" s="39"/>
      <c r="B148" s="51"/>
      <c r="C148" s="52"/>
      <c r="D148" s="53"/>
      <c r="E148" s="53"/>
    </row>
    <row r="149">
      <c r="A149" s="39"/>
      <c r="B149" s="51"/>
      <c r="C149" s="52"/>
      <c r="D149" s="53"/>
      <c r="E149" s="53"/>
    </row>
    <row r="150">
      <c r="A150" s="39"/>
      <c r="B150" s="51"/>
      <c r="C150" s="52"/>
      <c r="D150" s="53"/>
      <c r="E150" s="53"/>
    </row>
    <row r="151">
      <c r="A151" s="39"/>
      <c r="B151" s="51"/>
      <c r="C151" s="52"/>
      <c r="D151" s="53"/>
      <c r="E151" s="53"/>
    </row>
    <row r="152">
      <c r="A152" s="39"/>
      <c r="B152" s="51"/>
      <c r="C152" s="52"/>
      <c r="D152" s="53"/>
      <c r="E152" s="53"/>
    </row>
    <row r="153">
      <c r="A153" s="39"/>
      <c r="B153" s="51"/>
      <c r="C153" s="52"/>
      <c r="D153" s="53"/>
      <c r="E153" s="53"/>
    </row>
    <row r="154">
      <c r="A154" s="39"/>
      <c r="B154" s="51"/>
      <c r="C154" s="52"/>
      <c r="D154" s="53"/>
      <c r="E154" s="53"/>
    </row>
    <row r="155">
      <c r="A155" s="39"/>
      <c r="B155" s="51"/>
      <c r="C155" s="52"/>
      <c r="D155" s="53"/>
      <c r="E155" s="53"/>
    </row>
    <row r="156">
      <c r="A156" s="39"/>
      <c r="B156" s="51"/>
      <c r="C156" s="52"/>
      <c r="D156" s="53"/>
      <c r="E156" s="53"/>
    </row>
    <row r="157">
      <c r="A157" s="39"/>
      <c r="B157" s="51"/>
      <c r="C157" s="52"/>
      <c r="D157" s="53"/>
      <c r="E157" s="53"/>
    </row>
    <row r="158">
      <c r="A158" s="39"/>
      <c r="B158" s="51"/>
      <c r="C158" s="52"/>
      <c r="D158" s="53"/>
      <c r="E158" s="53"/>
    </row>
    <row r="159">
      <c r="A159" s="39"/>
      <c r="B159" s="51"/>
      <c r="C159" s="52"/>
      <c r="D159" s="53"/>
      <c r="E159" s="53"/>
    </row>
    <row r="160">
      <c r="A160" s="39"/>
      <c r="B160" s="51"/>
      <c r="C160" s="52"/>
      <c r="D160" s="53"/>
      <c r="E160" s="53"/>
    </row>
    <row r="161">
      <c r="A161" s="39"/>
      <c r="B161" s="51"/>
      <c r="C161" s="52"/>
      <c r="D161" s="53"/>
      <c r="E161" s="53"/>
    </row>
    <row r="162">
      <c r="A162" s="39"/>
      <c r="B162" s="51"/>
      <c r="C162" s="52"/>
      <c r="D162" s="53"/>
      <c r="E162" s="53"/>
    </row>
    <row r="163">
      <c r="A163" s="39"/>
      <c r="B163" s="51"/>
      <c r="C163" s="52"/>
      <c r="D163" s="53"/>
      <c r="E163" s="53"/>
    </row>
    <row r="164">
      <c r="A164" s="39"/>
      <c r="B164" s="51"/>
      <c r="C164" s="52"/>
      <c r="D164" s="53"/>
      <c r="E164" s="53"/>
    </row>
    <row r="165">
      <c r="A165" s="39"/>
      <c r="B165" s="51"/>
      <c r="C165" s="52"/>
      <c r="D165" s="53"/>
      <c r="E165" s="53"/>
    </row>
    <row r="166">
      <c r="A166" s="39"/>
      <c r="B166" s="51"/>
      <c r="C166" s="52"/>
      <c r="D166" s="53"/>
      <c r="E166" s="53"/>
    </row>
    <row r="167">
      <c r="A167" s="39"/>
      <c r="B167" s="51"/>
      <c r="C167" s="52"/>
      <c r="D167" s="53"/>
      <c r="E167" s="53"/>
    </row>
    <row r="168">
      <c r="A168" s="39"/>
      <c r="B168" s="51"/>
      <c r="C168" s="52"/>
      <c r="D168" s="53"/>
      <c r="E168" s="53"/>
    </row>
    <row r="169">
      <c r="A169" s="39"/>
      <c r="B169" s="51"/>
      <c r="C169" s="52"/>
      <c r="D169" s="53"/>
      <c r="E169" s="53"/>
    </row>
    <row r="170">
      <c r="A170" s="39"/>
      <c r="B170" s="51"/>
      <c r="C170" s="52"/>
      <c r="D170" s="53"/>
      <c r="E170" s="53"/>
    </row>
    <row r="171">
      <c r="A171" s="39"/>
      <c r="B171" s="51"/>
      <c r="C171" s="52"/>
      <c r="D171" s="53"/>
      <c r="E171" s="53"/>
    </row>
    <row r="172">
      <c r="A172" s="39"/>
      <c r="B172" s="51"/>
      <c r="C172" s="52"/>
      <c r="D172" s="53"/>
      <c r="E172" s="53"/>
    </row>
    <row r="173">
      <c r="A173" s="39"/>
      <c r="B173" s="51"/>
      <c r="C173" s="52"/>
      <c r="D173" s="53"/>
      <c r="E173" s="53"/>
    </row>
    <row r="174">
      <c r="A174" s="39"/>
      <c r="B174" s="51"/>
      <c r="C174" s="52"/>
      <c r="D174" s="53"/>
      <c r="E174" s="53"/>
    </row>
    <row r="175">
      <c r="A175" s="39"/>
      <c r="B175" s="51"/>
      <c r="C175" s="52"/>
      <c r="D175" s="53"/>
      <c r="E175" s="53"/>
    </row>
    <row r="176">
      <c r="A176" s="39"/>
      <c r="B176" s="51"/>
      <c r="C176" s="52"/>
      <c r="D176" s="53"/>
      <c r="E176" s="53"/>
    </row>
    <row r="177">
      <c r="A177" s="39"/>
      <c r="B177" s="51"/>
      <c r="C177" s="52"/>
      <c r="D177" s="53"/>
      <c r="E177" s="53"/>
    </row>
    <row r="178">
      <c r="A178" s="39"/>
      <c r="B178" s="51"/>
      <c r="C178" s="52"/>
      <c r="D178" s="53"/>
      <c r="E178" s="53"/>
    </row>
    <row r="179">
      <c r="A179" s="39"/>
      <c r="B179" s="51"/>
      <c r="C179" s="52"/>
      <c r="D179" s="53"/>
      <c r="E179" s="53"/>
    </row>
    <row r="180">
      <c r="A180" s="39"/>
      <c r="B180" s="51"/>
      <c r="C180" s="52"/>
      <c r="D180" s="53"/>
      <c r="E180" s="53"/>
    </row>
    <row r="181">
      <c r="A181" s="39"/>
      <c r="B181" s="51"/>
      <c r="C181" s="52"/>
      <c r="D181" s="53"/>
      <c r="E181" s="53"/>
    </row>
    <row r="182">
      <c r="A182" s="39"/>
      <c r="B182" s="51"/>
      <c r="C182" s="52"/>
      <c r="D182" s="53"/>
      <c r="E182" s="53"/>
    </row>
    <row r="183">
      <c r="A183" s="39"/>
      <c r="B183" s="51"/>
      <c r="C183" s="52"/>
      <c r="D183" s="53"/>
      <c r="E183" s="53"/>
    </row>
    <row r="184">
      <c r="A184" s="39"/>
      <c r="B184" s="51"/>
      <c r="C184" s="52"/>
      <c r="D184" s="53"/>
      <c r="E184" s="53"/>
    </row>
    <row r="185">
      <c r="A185" s="39"/>
      <c r="B185" s="51"/>
      <c r="C185" s="52"/>
      <c r="D185" s="53"/>
      <c r="E185" s="53"/>
    </row>
    <row r="186">
      <c r="A186" s="39"/>
      <c r="B186" s="51"/>
      <c r="C186" s="52"/>
      <c r="D186" s="53"/>
      <c r="E186" s="53"/>
    </row>
    <row r="187">
      <c r="A187" s="39"/>
      <c r="B187" s="51"/>
      <c r="C187" s="52"/>
      <c r="D187" s="53"/>
      <c r="E187" s="53"/>
    </row>
    <row r="188">
      <c r="A188" s="39"/>
      <c r="B188" s="51"/>
      <c r="C188" s="52"/>
      <c r="D188" s="53"/>
      <c r="E188" s="53"/>
    </row>
    <row r="189">
      <c r="A189" s="39"/>
      <c r="B189" s="51"/>
      <c r="C189" s="52"/>
      <c r="D189" s="53"/>
      <c r="E189" s="53"/>
    </row>
    <row r="190">
      <c r="A190" s="39"/>
      <c r="B190" s="51"/>
      <c r="C190" s="52"/>
      <c r="D190" s="53"/>
      <c r="E190" s="53"/>
    </row>
    <row r="191">
      <c r="A191" s="39"/>
      <c r="B191" s="51"/>
      <c r="C191" s="52"/>
      <c r="D191" s="53"/>
      <c r="E191" s="53"/>
    </row>
    <row r="192">
      <c r="A192" s="39"/>
      <c r="B192" s="51"/>
      <c r="C192" s="52"/>
      <c r="D192" s="53"/>
      <c r="E192" s="53"/>
    </row>
    <row r="193">
      <c r="A193" s="39"/>
      <c r="B193" s="51"/>
      <c r="C193" s="52"/>
      <c r="D193" s="53"/>
      <c r="E193" s="53"/>
    </row>
    <row r="194">
      <c r="A194" s="39"/>
      <c r="B194" s="51"/>
      <c r="C194" s="52"/>
      <c r="D194" s="53"/>
      <c r="E194" s="53"/>
    </row>
    <row r="195">
      <c r="A195" s="39"/>
      <c r="B195" s="51"/>
      <c r="C195" s="52"/>
      <c r="D195" s="53"/>
      <c r="E195" s="53"/>
    </row>
    <row r="196">
      <c r="A196" s="39"/>
      <c r="B196" s="51"/>
      <c r="C196" s="52"/>
      <c r="D196" s="53"/>
      <c r="E196" s="53"/>
    </row>
    <row r="197">
      <c r="A197" s="39"/>
      <c r="B197" s="51"/>
      <c r="C197" s="52"/>
      <c r="D197" s="53"/>
      <c r="E197" s="53"/>
    </row>
    <row r="198">
      <c r="A198" s="39"/>
      <c r="B198" s="51"/>
      <c r="C198" s="52"/>
      <c r="D198" s="53"/>
      <c r="E198" s="53"/>
    </row>
    <row r="199">
      <c r="A199" s="39"/>
      <c r="B199" s="51"/>
      <c r="C199" s="52"/>
      <c r="D199" s="53"/>
      <c r="E199" s="53"/>
    </row>
    <row r="200">
      <c r="A200" s="39"/>
      <c r="B200" s="51"/>
      <c r="C200" s="52"/>
      <c r="D200" s="53"/>
      <c r="E200" s="53"/>
    </row>
    <row r="201">
      <c r="A201" s="39"/>
      <c r="B201" s="51"/>
      <c r="C201" s="52"/>
      <c r="D201" s="53"/>
      <c r="E201" s="53"/>
    </row>
    <row r="202">
      <c r="A202" s="39"/>
      <c r="B202" s="51"/>
      <c r="C202" s="52"/>
      <c r="D202" s="53"/>
      <c r="E202" s="53"/>
    </row>
    <row r="203">
      <c r="A203" s="39"/>
      <c r="B203" s="51"/>
      <c r="C203" s="52"/>
      <c r="D203" s="53"/>
      <c r="E203" s="53"/>
    </row>
    <row r="204">
      <c r="A204" s="39"/>
      <c r="B204" s="51"/>
      <c r="C204" s="52"/>
      <c r="D204" s="53"/>
      <c r="E204" s="53"/>
    </row>
    <row r="205">
      <c r="A205" s="39"/>
      <c r="B205" s="51"/>
      <c r="C205" s="52"/>
      <c r="D205" s="53"/>
      <c r="E205" s="53"/>
    </row>
    <row r="206">
      <c r="A206" s="39"/>
      <c r="B206" s="51"/>
      <c r="C206" s="52"/>
      <c r="D206" s="53"/>
      <c r="E206" s="53"/>
    </row>
    <row r="207">
      <c r="A207" s="39"/>
      <c r="B207" s="51"/>
      <c r="C207" s="52"/>
      <c r="D207" s="53"/>
      <c r="E207" s="53"/>
    </row>
    <row r="208">
      <c r="A208" s="39"/>
      <c r="B208" s="51"/>
      <c r="C208" s="52"/>
      <c r="D208" s="53"/>
      <c r="E208" s="53"/>
    </row>
    <row r="209">
      <c r="A209" s="39"/>
      <c r="B209" s="51"/>
      <c r="C209" s="52"/>
      <c r="D209" s="53"/>
      <c r="E209" s="53"/>
    </row>
    <row r="210">
      <c r="A210" s="39"/>
      <c r="B210" s="51"/>
      <c r="C210" s="52"/>
      <c r="D210" s="53"/>
      <c r="E210" s="53"/>
    </row>
    <row r="211">
      <c r="A211" s="39"/>
      <c r="B211" s="51"/>
      <c r="C211" s="52"/>
      <c r="D211" s="53"/>
      <c r="E211" s="53"/>
    </row>
    <row r="212">
      <c r="A212" s="39"/>
      <c r="B212" s="51"/>
      <c r="C212" s="52"/>
      <c r="D212" s="53"/>
      <c r="E212" s="53"/>
    </row>
    <row r="213">
      <c r="A213" s="39"/>
      <c r="B213" s="51"/>
      <c r="C213" s="52"/>
      <c r="D213" s="53"/>
      <c r="E213" s="53"/>
    </row>
    <row r="214">
      <c r="A214" s="39"/>
      <c r="B214" s="51"/>
      <c r="C214" s="52"/>
      <c r="D214" s="53"/>
      <c r="E214" s="53"/>
    </row>
    <row r="215">
      <c r="A215" s="39"/>
      <c r="B215" s="51"/>
      <c r="C215" s="52"/>
      <c r="D215" s="53"/>
      <c r="E215" s="53"/>
    </row>
    <row r="216">
      <c r="A216" s="39"/>
      <c r="B216" s="51"/>
      <c r="C216" s="52"/>
      <c r="D216" s="53"/>
      <c r="E216" s="53"/>
    </row>
    <row r="217">
      <c r="A217" s="39"/>
      <c r="B217" s="51"/>
      <c r="C217" s="52"/>
      <c r="D217" s="53"/>
      <c r="E217" s="53"/>
    </row>
    <row r="218">
      <c r="A218" s="39"/>
      <c r="B218" s="51"/>
      <c r="C218" s="52"/>
      <c r="D218" s="53"/>
      <c r="E218" s="53"/>
    </row>
    <row r="219">
      <c r="A219" s="39"/>
      <c r="B219" s="51"/>
      <c r="C219" s="52"/>
      <c r="D219" s="53"/>
      <c r="E219" s="53"/>
    </row>
    <row r="220">
      <c r="A220" s="39"/>
      <c r="B220" s="51"/>
      <c r="C220" s="52"/>
      <c r="D220" s="53"/>
      <c r="E220" s="53"/>
    </row>
    <row r="221">
      <c r="A221" s="39"/>
      <c r="B221" s="51"/>
      <c r="C221" s="52"/>
      <c r="D221" s="53"/>
      <c r="E221" s="53"/>
    </row>
    <row r="222">
      <c r="A222" s="39"/>
      <c r="B222" s="51"/>
      <c r="C222" s="52"/>
      <c r="D222" s="53"/>
      <c r="E222" s="53"/>
    </row>
    <row r="223">
      <c r="A223" s="39"/>
      <c r="B223" s="51"/>
      <c r="C223" s="52"/>
      <c r="D223" s="53"/>
      <c r="E223" s="53"/>
    </row>
    <row r="224">
      <c r="A224" s="39"/>
      <c r="B224" s="51"/>
      <c r="C224" s="52"/>
      <c r="D224" s="53"/>
      <c r="E224" s="53"/>
    </row>
    <row r="225">
      <c r="A225" s="39"/>
      <c r="B225" s="51"/>
      <c r="C225" s="52"/>
      <c r="D225" s="53"/>
      <c r="E225" s="53"/>
    </row>
    <row r="226">
      <c r="A226" s="39"/>
      <c r="B226" s="51"/>
      <c r="C226" s="52"/>
      <c r="D226" s="53"/>
      <c r="E226" s="53"/>
    </row>
    <row r="227">
      <c r="A227" s="39"/>
      <c r="B227" s="51"/>
      <c r="C227" s="52"/>
      <c r="D227" s="53"/>
      <c r="E227" s="53"/>
    </row>
    <row r="228">
      <c r="A228" s="39"/>
      <c r="B228" s="51"/>
      <c r="C228" s="52"/>
      <c r="D228" s="53"/>
      <c r="E228" s="53"/>
    </row>
    <row r="229">
      <c r="A229" s="39"/>
      <c r="B229" s="51"/>
      <c r="C229" s="52"/>
      <c r="D229" s="53"/>
      <c r="E229" s="53"/>
    </row>
    <row r="230">
      <c r="A230" s="39"/>
      <c r="B230" s="51"/>
      <c r="C230" s="52"/>
      <c r="D230" s="53"/>
      <c r="E230" s="53"/>
    </row>
    <row r="231">
      <c r="A231" s="39"/>
      <c r="B231" s="51"/>
      <c r="C231" s="52"/>
      <c r="D231" s="53"/>
      <c r="E231" s="53"/>
    </row>
    <row r="232">
      <c r="A232" s="39"/>
      <c r="B232" s="51"/>
      <c r="C232" s="52"/>
      <c r="D232" s="53"/>
      <c r="E232" s="53"/>
    </row>
    <row r="233">
      <c r="A233" s="39"/>
      <c r="B233" s="51"/>
      <c r="C233" s="52"/>
      <c r="D233" s="53"/>
      <c r="E233" s="53"/>
    </row>
    <row r="234">
      <c r="A234" s="39"/>
      <c r="B234" s="51"/>
      <c r="C234" s="52"/>
      <c r="D234" s="53"/>
      <c r="E234" s="53"/>
    </row>
    <row r="235">
      <c r="A235" s="39"/>
      <c r="B235" s="51"/>
      <c r="C235" s="52"/>
      <c r="D235" s="53"/>
      <c r="E235" s="53"/>
    </row>
    <row r="236">
      <c r="A236" s="39"/>
      <c r="B236" s="51"/>
      <c r="C236" s="52"/>
      <c r="D236" s="53"/>
      <c r="E236" s="53"/>
    </row>
    <row r="237">
      <c r="A237" s="39"/>
      <c r="B237" s="51"/>
      <c r="C237" s="52"/>
      <c r="D237" s="53"/>
      <c r="E237" s="53"/>
    </row>
    <row r="238">
      <c r="A238" s="39"/>
      <c r="B238" s="51"/>
      <c r="C238" s="52"/>
      <c r="D238" s="53"/>
      <c r="E238" s="53"/>
    </row>
    <row r="239">
      <c r="A239" s="39"/>
      <c r="B239" s="51"/>
      <c r="C239" s="52"/>
      <c r="D239" s="53"/>
      <c r="E239" s="53"/>
    </row>
    <row r="240">
      <c r="A240" s="39"/>
      <c r="B240" s="51"/>
      <c r="C240" s="52"/>
      <c r="D240" s="53"/>
      <c r="E240" s="53"/>
    </row>
    <row r="241">
      <c r="A241" s="39"/>
      <c r="B241" s="51"/>
      <c r="C241" s="52"/>
      <c r="D241" s="53"/>
      <c r="E241" s="53"/>
    </row>
    <row r="242">
      <c r="A242" s="39"/>
      <c r="B242" s="51"/>
      <c r="C242" s="52"/>
      <c r="D242" s="53"/>
      <c r="E242" s="53"/>
    </row>
    <row r="243">
      <c r="A243" s="39"/>
      <c r="B243" s="51"/>
      <c r="C243" s="52"/>
      <c r="D243" s="53"/>
      <c r="E243" s="53"/>
    </row>
    <row r="244">
      <c r="A244" s="39"/>
      <c r="B244" s="51"/>
      <c r="C244" s="52"/>
      <c r="D244" s="53"/>
      <c r="E244" s="53"/>
    </row>
    <row r="245">
      <c r="A245" s="39"/>
      <c r="B245" s="51"/>
      <c r="C245" s="52"/>
      <c r="D245" s="53"/>
      <c r="E245" s="53"/>
    </row>
    <row r="246">
      <c r="A246" s="39"/>
      <c r="B246" s="51"/>
      <c r="C246" s="52"/>
      <c r="D246" s="53"/>
      <c r="E246" s="53"/>
    </row>
    <row r="247">
      <c r="A247" s="39"/>
      <c r="B247" s="51"/>
      <c r="C247" s="52"/>
      <c r="D247" s="53"/>
      <c r="E247" s="53"/>
    </row>
    <row r="248">
      <c r="A248" s="39"/>
      <c r="B248" s="51"/>
      <c r="C248" s="52"/>
      <c r="D248" s="53"/>
      <c r="E248" s="53"/>
    </row>
    <row r="249">
      <c r="A249" s="39"/>
      <c r="B249" s="51"/>
      <c r="C249" s="52"/>
      <c r="D249" s="53"/>
      <c r="E249" s="53"/>
    </row>
    <row r="250">
      <c r="A250" s="39"/>
      <c r="B250" s="51"/>
      <c r="C250" s="52"/>
      <c r="D250" s="53"/>
      <c r="E250" s="53"/>
    </row>
    <row r="251">
      <c r="A251" s="39"/>
      <c r="B251" s="51"/>
      <c r="C251" s="52"/>
      <c r="D251" s="53"/>
      <c r="E251" s="53"/>
    </row>
    <row r="252">
      <c r="A252" s="39"/>
      <c r="B252" s="51"/>
      <c r="C252" s="52"/>
      <c r="D252" s="53"/>
      <c r="E252" s="53"/>
    </row>
    <row r="253">
      <c r="A253" s="39"/>
      <c r="B253" s="51"/>
      <c r="C253" s="52"/>
      <c r="D253" s="53"/>
      <c r="E253" s="53"/>
    </row>
    <row r="254">
      <c r="A254" s="39"/>
      <c r="B254" s="51"/>
      <c r="C254" s="52"/>
      <c r="D254" s="53"/>
      <c r="E254" s="53"/>
    </row>
    <row r="255">
      <c r="A255" s="39"/>
      <c r="B255" s="51"/>
      <c r="C255" s="52"/>
      <c r="D255" s="53"/>
      <c r="E255" s="53"/>
    </row>
    <row r="256">
      <c r="A256" s="39"/>
      <c r="B256" s="51"/>
      <c r="C256" s="52"/>
      <c r="D256" s="53"/>
      <c r="E256" s="53"/>
    </row>
    <row r="257">
      <c r="A257" s="39"/>
      <c r="B257" s="51"/>
      <c r="C257" s="52"/>
      <c r="D257" s="53"/>
      <c r="E257" s="53"/>
    </row>
    <row r="258">
      <c r="A258" s="39"/>
      <c r="B258" s="51"/>
      <c r="C258" s="52"/>
      <c r="D258" s="53"/>
      <c r="E258" s="53"/>
    </row>
    <row r="259">
      <c r="A259" s="39"/>
      <c r="B259" s="51"/>
      <c r="C259" s="52"/>
      <c r="D259" s="53"/>
      <c r="E259" s="53"/>
    </row>
    <row r="260">
      <c r="A260" s="39"/>
      <c r="B260" s="51"/>
      <c r="C260" s="52"/>
      <c r="D260" s="53"/>
      <c r="E260" s="53"/>
    </row>
    <row r="261">
      <c r="A261" s="39"/>
      <c r="B261" s="51"/>
      <c r="C261" s="52"/>
      <c r="D261" s="53"/>
      <c r="E261" s="53"/>
    </row>
    <row r="262">
      <c r="A262" s="39"/>
      <c r="B262" s="51"/>
      <c r="C262" s="52"/>
      <c r="D262" s="53"/>
      <c r="E262" s="53"/>
    </row>
    <row r="263">
      <c r="A263" s="39"/>
      <c r="B263" s="51"/>
      <c r="C263" s="52"/>
      <c r="D263" s="53"/>
      <c r="E263" s="53"/>
    </row>
    <row r="264">
      <c r="A264" s="39"/>
      <c r="B264" s="51"/>
      <c r="C264" s="52"/>
      <c r="D264" s="53"/>
      <c r="E264" s="53"/>
    </row>
    <row r="265">
      <c r="A265" s="39"/>
      <c r="B265" s="51"/>
      <c r="C265" s="52"/>
      <c r="D265" s="53"/>
      <c r="E265" s="53"/>
    </row>
    <row r="266">
      <c r="A266" s="39"/>
      <c r="B266" s="51"/>
      <c r="C266" s="52"/>
      <c r="D266" s="53"/>
      <c r="E266" s="53"/>
    </row>
    <row r="267">
      <c r="A267" s="39"/>
      <c r="B267" s="51"/>
      <c r="C267" s="52"/>
      <c r="D267" s="53"/>
      <c r="E267" s="53"/>
    </row>
    <row r="268">
      <c r="A268" s="39"/>
      <c r="B268" s="51"/>
      <c r="C268" s="52"/>
      <c r="D268" s="53"/>
      <c r="E268" s="53"/>
    </row>
    <row r="269">
      <c r="A269" s="39"/>
      <c r="B269" s="51"/>
      <c r="C269" s="52"/>
      <c r="D269" s="53"/>
      <c r="E269" s="53"/>
    </row>
    <row r="270">
      <c r="A270" s="39"/>
      <c r="B270" s="51"/>
      <c r="C270" s="52"/>
      <c r="D270" s="53"/>
      <c r="E270" s="53"/>
    </row>
    <row r="271">
      <c r="A271" s="39"/>
      <c r="B271" s="51"/>
      <c r="C271" s="52"/>
      <c r="D271" s="53"/>
      <c r="E271" s="53"/>
    </row>
    <row r="272">
      <c r="A272" s="39"/>
      <c r="B272" s="51"/>
      <c r="C272" s="52"/>
      <c r="D272" s="53"/>
      <c r="E272" s="53"/>
    </row>
    <row r="273">
      <c r="A273" s="39"/>
      <c r="B273" s="51"/>
      <c r="C273" s="52"/>
      <c r="D273" s="53"/>
      <c r="E273" s="53"/>
    </row>
    <row r="274">
      <c r="A274" s="39"/>
      <c r="B274" s="51"/>
      <c r="C274" s="52"/>
      <c r="D274" s="53"/>
      <c r="E274" s="53"/>
    </row>
    <row r="275">
      <c r="A275" s="39"/>
      <c r="B275" s="51"/>
      <c r="C275" s="52"/>
      <c r="D275" s="53"/>
      <c r="E275" s="53"/>
    </row>
    <row r="276">
      <c r="A276" s="39"/>
      <c r="B276" s="51"/>
      <c r="C276" s="52"/>
      <c r="D276" s="53"/>
      <c r="E276" s="53"/>
    </row>
    <row r="277">
      <c r="A277" s="39"/>
      <c r="B277" s="51"/>
      <c r="C277" s="52"/>
      <c r="D277" s="53"/>
      <c r="E277" s="53"/>
    </row>
    <row r="278">
      <c r="A278" s="39"/>
      <c r="B278" s="51"/>
      <c r="C278" s="52"/>
      <c r="D278" s="53"/>
      <c r="E278" s="53"/>
    </row>
    <row r="279">
      <c r="A279" s="39"/>
      <c r="B279" s="51"/>
      <c r="C279" s="52"/>
      <c r="D279" s="53"/>
      <c r="E279" s="53"/>
    </row>
    <row r="280">
      <c r="A280" s="39"/>
      <c r="B280" s="51"/>
      <c r="C280" s="52"/>
      <c r="D280" s="53"/>
      <c r="E280" s="53"/>
    </row>
    <row r="281">
      <c r="A281" s="39"/>
      <c r="B281" s="51"/>
      <c r="C281" s="52"/>
      <c r="D281" s="53"/>
      <c r="E281" s="53"/>
    </row>
    <row r="282">
      <c r="A282" s="39"/>
      <c r="B282" s="51"/>
      <c r="C282" s="52"/>
      <c r="D282" s="53"/>
      <c r="E282" s="53"/>
    </row>
    <row r="283">
      <c r="A283" s="39"/>
      <c r="B283" s="51"/>
      <c r="C283" s="52"/>
      <c r="D283" s="53"/>
      <c r="E283" s="53"/>
    </row>
    <row r="284">
      <c r="A284" s="39"/>
      <c r="B284" s="51"/>
      <c r="C284" s="52"/>
      <c r="D284" s="53"/>
      <c r="E284" s="53"/>
    </row>
    <row r="285">
      <c r="A285" s="39"/>
      <c r="B285" s="51"/>
      <c r="C285" s="52"/>
      <c r="D285" s="53"/>
      <c r="E285" s="53"/>
    </row>
    <row r="286">
      <c r="A286" s="39"/>
      <c r="B286" s="51"/>
      <c r="C286" s="52"/>
      <c r="D286" s="53"/>
      <c r="E286" s="53"/>
    </row>
    <row r="287">
      <c r="A287" s="39"/>
      <c r="B287" s="51"/>
      <c r="C287" s="52"/>
      <c r="D287" s="53"/>
      <c r="E287" s="53"/>
    </row>
    <row r="288">
      <c r="A288" s="39"/>
      <c r="B288" s="51"/>
      <c r="C288" s="52"/>
      <c r="D288" s="53"/>
      <c r="E288" s="53"/>
    </row>
    <row r="289">
      <c r="A289" s="39"/>
      <c r="B289" s="51"/>
      <c r="C289" s="52"/>
      <c r="D289" s="53"/>
      <c r="E289" s="53"/>
    </row>
    <row r="290">
      <c r="A290" s="39"/>
      <c r="B290" s="51"/>
      <c r="C290" s="52"/>
      <c r="D290" s="53"/>
      <c r="E290" s="53"/>
    </row>
    <row r="291">
      <c r="A291" s="39"/>
      <c r="B291" s="51"/>
      <c r="C291" s="52"/>
      <c r="D291" s="53"/>
      <c r="E291" s="53"/>
    </row>
    <row r="292">
      <c r="A292" s="39"/>
      <c r="B292" s="51"/>
      <c r="C292" s="52"/>
      <c r="D292" s="53"/>
      <c r="E292" s="53"/>
    </row>
    <row r="293">
      <c r="A293" s="39"/>
      <c r="B293" s="51"/>
      <c r="C293" s="52"/>
      <c r="D293" s="53"/>
      <c r="E293" s="53"/>
    </row>
    <row r="294">
      <c r="A294" s="39"/>
      <c r="B294" s="51"/>
      <c r="C294" s="52"/>
      <c r="D294" s="53"/>
      <c r="E294" s="53"/>
    </row>
    <row r="295">
      <c r="A295" s="39"/>
      <c r="B295" s="51"/>
      <c r="C295" s="52"/>
      <c r="D295" s="53"/>
      <c r="E295" s="53"/>
    </row>
    <row r="296">
      <c r="A296" s="39"/>
      <c r="B296" s="51"/>
      <c r="C296" s="52"/>
      <c r="D296" s="53"/>
      <c r="E296" s="53"/>
    </row>
    <row r="297">
      <c r="A297" s="39"/>
      <c r="B297" s="51"/>
      <c r="C297" s="52"/>
      <c r="D297" s="53"/>
      <c r="E297" s="53"/>
    </row>
    <row r="298">
      <c r="A298" s="39"/>
      <c r="B298" s="51"/>
      <c r="C298" s="52"/>
      <c r="D298" s="53"/>
      <c r="E298" s="53"/>
    </row>
    <row r="299">
      <c r="A299" s="39"/>
      <c r="B299" s="51"/>
      <c r="C299" s="52"/>
      <c r="D299" s="53"/>
      <c r="E299" s="53"/>
    </row>
    <row r="300">
      <c r="A300" s="39"/>
      <c r="B300" s="51"/>
      <c r="C300" s="52"/>
      <c r="D300" s="53"/>
      <c r="E300" s="53"/>
    </row>
    <row r="301">
      <c r="A301" s="39"/>
      <c r="B301" s="51"/>
      <c r="C301" s="52"/>
      <c r="D301" s="53"/>
      <c r="E301" s="53"/>
    </row>
    <row r="302">
      <c r="A302" s="39"/>
      <c r="B302" s="51"/>
      <c r="C302" s="52"/>
      <c r="D302" s="53"/>
      <c r="E302" s="53"/>
    </row>
    <row r="303">
      <c r="A303" s="39"/>
      <c r="B303" s="51"/>
      <c r="C303" s="52"/>
      <c r="D303" s="53"/>
      <c r="E303" s="53"/>
    </row>
    <row r="304">
      <c r="A304" s="39"/>
      <c r="B304" s="51"/>
      <c r="C304" s="52"/>
      <c r="D304" s="53"/>
      <c r="E304" s="53"/>
    </row>
    <row r="305">
      <c r="A305" s="39"/>
      <c r="B305" s="51"/>
      <c r="C305" s="52"/>
      <c r="D305" s="53"/>
      <c r="E305" s="53"/>
    </row>
    <row r="306">
      <c r="A306" s="39"/>
      <c r="B306" s="51"/>
      <c r="C306" s="52"/>
      <c r="D306" s="53"/>
      <c r="E306" s="53"/>
    </row>
    <row r="307">
      <c r="A307" s="39"/>
      <c r="B307" s="51"/>
      <c r="C307" s="52"/>
      <c r="D307" s="53"/>
      <c r="E307" s="53"/>
    </row>
    <row r="308">
      <c r="A308" s="39"/>
      <c r="B308" s="51"/>
      <c r="C308" s="52"/>
      <c r="D308" s="53"/>
      <c r="E308" s="53"/>
    </row>
    <row r="309">
      <c r="A309" s="39"/>
      <c r="B309" s="51"/>
      <c r="C309" s="52"/>
      <c r="D309" s="53"/>
      <c r="E309" s="53"/>
    </row>
    <row r="310">
      <c r="A310" s="39"/>
      <c r="B310" s="51"/>
      <c r="C310" s="52"/>
      <c r="D310" s="53"/>
      <c r="E310" s="53"/>
    </row>
    <row r="311">
      <c r="A311" s="39"/>
      <c r="B311" s="51"/>
      <c r="C311" s="52"/>
      <c r="D311" s="53"/>
      <c r="E311" s="53"/>
    </row>
    <row r="312">
      <c r="A312" s="39"/>
      <c r="B312" s="51"/>
      <c r="C312" s="52"/>
      <c r="D312" s="53"/>
      <c r="E312" s="53"/>
    </row>
    <row r="313">
      <c r="A313" s="39"/>
      <c r="B313" s="51"/>
      <c r="C313" s="52"/>
      <c r="D313" s="53"/>
      <c r="E313" s="53"/>
    </row>
    <row r="314">
      <c r="A314" s="39"/>
      <c r="B314" s="51"/>
      <c r="C314" s="52"/>
      <c r="D314" s="53"/>
      <c r="E314" s="53"/>
    </row>
    <row r="315">
      <c r="A315" s="39"/>
      <c r="B315" s="51"/>
      <c r="C315" s="52"/>
      <c r="D315" s="53"/>
      <c r="E315" s="53"/>
    </row>
    <row r="316">
      <c r="A316" s="39"/>
      <c r="B316" s="51"/>
      <c r="C316" s="52"/>
      <c r="D316" s="53"/>
      <c r="E316" s="53"/>
    </row>
    <row r="317">
      <c r="A317" s="39"/>
      <c r="B317" s="51"/>
      <c r="C317" s="52"/>
      <c r="D317" s="53"/>
      <c r="E317" s="53"/>
    </row>
    <row r="318">
      <c r="A318" s="39"/>
      <c r="B318" s="51"/>
      <c r="C318" s="52"/>
      <c r="D318" s="53"/>
      <c r="E318" s="53"/>
    </row>
    <row r="319">
      <c r="A319" s="39"/>
      <c r="B319" s="51"/>
      <c r="C319" s="52"/>
      <c r="D319" s="53"/>
      <c r="E319" s="53"/>
    </row>
    <row r="320">
      <c r="A320" s="39"/>
      <c r="B320" s="51"/>
      <c r="C320" s="52"/>
      <c r="D320" s="53"/>
      <c r="E320" s="53"/>
    </row>
    <row r="321">
      <c r="A321" s="39"/>
      <c r="B321" s="51"/>
      <c r="C321" s="52"/>
      <c r="D321" s="53"/>
      <c r="E321" s="53"/>
    </row>
    <row r="322">
      <c r="A322" s="39"/>
      <c r="B322" s="51"/>
      <c r="C322" s="52"/>
      <c r="D322" s="53"/>
      <c r="E322" s="53"/>
    </row>
    <row r="323">
      <c r="A323" s="39"/>
      <c r="B323" s="51"/>
      <c r="C323" s="52"/>
      <c r="D323" s="53"/>
      <c r="E323" s="53"/>
    </row>
    <row r="324">
      <c r="A324" s="39"/>
      <c r="B324" s="51"/>
      <c r="C324" s="52"/>
      <c r="D324" s="53"/>
      <c r="E324" s="53"/>
    </row>
    <row r="325">
      <c r="A325" s="39"/>
      <c r="B325" s="51"/>
      <c r="C325" s="52"/>
      <c r="D325" s="53"/>
      <c r="E325" s="53"/>
    </row>
    <row r="326">
      <c r="A326" s="39"/>
      <c r="B326" s="51"/>
      <c r="C326" s="52"/>
      <c r="D326" s="53"/>
      <c r="E326" s="53"/>
    </row>
    <row r="327">
      <c r="A327" s="39"/>
      <c r="B327" s="51"/>
      <c r="C327" s="52"/>
      <c r="D327" s="53"/>
      <c r="E327" s="53"/>
    </row>
    <row r="328">
      <c r="A328" s="39"/>
      <c r="B328" s="51"/>
      <c r="C328" s="52"/>
      <c r="D328" s="53"/>
      <c r="E328" s="53"/>
    </row>
    <row r="329">
      <c r="A329" s="39"/>
      <c r="B329" s="51"/>
      <c r="C329" s="52"/>
      <c r="D329" s="53"/>
      <c r="E329" s="53"/>
    </row>
    <row r="330">
      <c r="A330" s="39"/>
      <c r="B330" s="51"/>
      <c r="C330" s="52"/>
      <c r="D330" s="53"/>
      <c r="E330" s="53"/>
    </row>
    <row r="331">
      <c r="A331" s="39"/>
      <c r="B331" s="51"/>
      <c r="C331" s="52"/>
      <c r="D331" s="53"/>
      <c r="E331" s="53"/>
    </row>
    <row r="332">
      <c r="A332" s="39"/>
      <c r="B332" s="51"/>
      <c r="C332" s="52"/>
      <c r="D332" s="53"/>
      <c r="E332" s="53"/>
    </row>
    <row r="333">
      <c r="A333" s="39"/>
      <c r="B333" s="51"/>
      <c r="C333" s="52"/>
      <c r="D333" s="53"/>
      <c r="E333" s="53"/>
    </row>
    <row r="334">
      <c r="A334" s="39"/>
      <c r="B334" s="51"/>
      <c r="C334" s="52"/>
      <c r="D334" s="53"/>
      <c r="E334" s="53"/>
    </row>
    <row r="335">
      <c r="A335" s="39"/>
      <c r="B335" s="51"/>
      <c r="C335" s="52"/>
      <c r="D335" s="53"/>
      <c r="E335" s="53"/>
    </row>
    <row r="336">
      <c r="A336" s="39"/>
      <c r="B336" s="51"/>
      <c r="C336" s="52"/>
      <c r="D336" s="53"/>
      <c r="E336" s="53"/>
    </row>
    <row r="337">
      <c r="A337" s="39"/>
      <c r="B337" s="51"/>
      <c r="C337" s="52"/>
      <c r="D337" s="53"/>
      <c r="E337" s="53"/>
    </row>
    <row r="338">
      <c r="A338" s="39"/>
      <c r="B338" s="51"/>
      <c r="C338" s="52"/>
      <c r="D338" s="53"/>
      <c r="E338" s="53"/>
    </row>
    <row r="339">
      <c r="A339" s="39"/>
      <c r="B339" s="51"/>
      <c r="C339" s="52"/>
      <c r="D339" s="53"/>
      <c r="E339" s="53"/>
    </row>
    <row r="340">
      <c r="A340" s="39"/>
      <c r="B340" s="51"/>
      <c r="C340" s="52"/>
      <c r="D340" s="53"/>
      <c r="E340" s="53"/>
    </row>
    <row r="341">
      <c r="A341" s="39"/>
      <c r="B341" s="51"/>
      <c r="C341" s="52"/>
      <c r="D341" s="53"/>
      <c r="E341" s="53"/>
    </row>
    <row r="342">
      <c r="A342" s="39"/>
      <c r="B342" s="51"/>
      <c r="C342" s="52"/>
      <c r="D342" s="53"/>
      <c r="E342" s="53"/>
    </row>
    <row r="343">
      <c r="A343" s="39"/>
      <c r="B343" s="51"/>
      <c r="C343" s="52"/>
      <c r="D343" s="53"/>
      <c r="E343" s="53"/>
    </row>
    <row r="344">
      <c r="A344" s="39"/>
      <c r="B344" s="51"/>
      <c r="C344" s="52"/>
      <c r="D344" s="53"/>
      <c r="E344" s="53"/>
    </row>
    <row r="345">
      <c r="A345" s="39"/>
      <c r="B345" s="51"/>
      <c r="C345" s="52"/>
      <c r="D345" s="53"/>
      <c r="E345" s="53"/>
    </row>
    <row r="346">
      <c r="A346" s="39"/>
      <c r="B346" s="51"/>
      <c r="C346" s="52"/>
      <c r="D346" s="53"/>
      <c r="E346" s="53"/>
    </row>
    <row r="347">
      <c r="A347" s="39"/>
      <c r="B347" s="51"/>
      <c r="C347" s="52"/>
      <c r="D347" s="53"/>
      <c r="E347" s="53"/>
    </row>
    <row r="348">
      <c r="A348" s="39"/>
      <c r="B348" s="51"/>
      <c r="C348" s="52"/>
      <c r="D348" s="53"/>
      <c r="E348" s="53"/>
    </row>
    <row r="349">
      <c r="A349" s="39"/>
      <c r="B349" s="51"/>
      <c r="C349" s="52"/>
      <c r="D349" s="53"/>
      <c r="E349" s="53"/>
    </row>
    <row r="350">
      <c r="A350" s="39"/>
      <c r="B350" s="51"/>
      <c r="C350" s="52"/>
      <c r="D350" s="53"/>
      <c r="E350" s="53"/>
    </row>
    <row r="351">
      <c r="A351" s="39"/>
      <c r="B351" s="51"/>
      <c r="C351" s="52"/>
      <c r="D351" s="53"/>
      <c r="E351" s="53"/>
    </row>
    <row r="352">
      <c r="A352" s="39"/>
      <c r="B352" s="51"/>
      <c r="C352" s="52"/>
      <c r="D352" s="53"/>
      <c r="E352" s="53"/>
    </row>
    <row r="353">
      <c r="A353" s="39"/>
      <c r="B353" s="51"/>
      <c r="C353" s="52"/>
      <c r="D353" s="53"/>
      <c r="E353" s="53"/>
    </row>
    <row r="354">
      <c r="A354" s="39"/>
      <c r="B354" s="51"/>
      <c r="C354" s="52"/>
      <c r="D354" s="53"/>
      <c r="E354" s="53"/>
    </row>
    <row r="355">
      <c r="A355" s="39"/>
      <c r="B355" s="51"/>
      <c r="C355" s="52"/>
      <c r="D355" s="53"/>
      <c r="E355" s="53"/>
    </row>
    <row r="356">
      <c r="A356" s="39"/>
      <c r="B356" s="51"/>
      <c r="C356" s="52"/>
      <c r="D356" s="53"/>
      <c r="E356" s="53"/>
    </row>
    <row r="357">
      <c r="A357" s="39"/>
      <c r="B357" s="51"/>
      <c r="C357" s="52"/>
      <c r="D357" s="53"/>
      <c r="E357" s="53"/>
    </row>
    <row r="358">
      <c r="A358" s="39"/>
      <c r="B358" s="51"/>
      <c r="C358" s="52"/>
      <c r="D358" s="53"/>
      <c r="E358" s="53"/>
    </row>
    <row r="359">
      <c r="A359" s="39"/>
      <c r="B359" s="51"/>
      <c r="C359" s="52"/>
      <c r="D359" s="53"/>
      <c r="E359" s="53"/>
    </row>
    <row r="360">
      <c r="A360" s="39"/>
      <c r="B360" s="51"/>
      <c r="C360" s="52"/>
      <c r="D360" s="53"/>
      <c r="E360" s="53"/>
    </row>
    <row r="361">
      <c r="A361" s="39"/>
      <c r="B361" s="51"/>
      <c r="C361" s="52"/>
      <c r="D361" s="53"/>
      <c r="E361" s="53"/>
    </row>
    <row r="362">
      <c r="A362" s="39"/>
      <c r="B362" s="51"/>
      <c r="C362" s="52"/>
      <c r="D362" s="53"/>
      <c r="E362" s="53"/>
    </row>
    <row r="363">
      <c r="A363" s="39"/>
      <c r="B363" s="51"/>
      <c r="C363" s="52"/>
      <c r="D363" s="53"/>
      <c r="E363" s="53"/>
    </row>
    <row r="364">
      <c r="A364" s="39"/>
      <c r="B364" s="51"/>
      <c r="C364" s="52"/>
      <c r="D364" s="53"/>
      <c r="E364" s="53"/>
    </row>
    <row r="365">
      <c r="A365" s="39"/>
      <c r="B365" s="51"/>
      <c r="C365" s="52"/>
      <c r="D365" s="53"/>
      <c r="E365" s="53"/>
    </row>
    <row r="366">
      <c r="A366" s="39"/>
      <c r="B366" s="51"/>
      <c r="C366" s="52"/>
      <c r="D366" s="53"/>
      <c r="E366" s="53"/>
    </row>
    <row r="367">
      <c r="A367" s="39"/>
      <c r="B367" s="51"/>
      <c r="C367" s="52"/>
      <c r="D367" s="53"/>
      <c r="E367" s="53"/>
    </row>
    <row r="368">
      <c r="A368" s="39"/>
      <c r="B368" s="51"/>
      <c r="C368" s="52"/>
      <c r="D368" s="53"/>
      <c r="E368" s="53"/>
    </row>
    <row r="369">
      <c r="A369" s="39"/>
      <c r="B369" s="51"/>
      <c r="C369" s="52"/>
      <c r="D369" s="53"/>
      <c r="E369" s="53"/>
    </row>
    <row r="370">
      <c r="A370" s="39"/>
      <c r="B370" s="51"/>
      <c r="C370" s="52"/>
      <c r="D370" s="53"/>
      <c r="E370" s="53"/>
    </row>
    <row r="371">
      <c r="A371" s="39"/>
      <c r="B371" s="51"/>
      <c r="C371" s="52"/>
      <c r="D371" s="53"/>
      <c r="E371" s="53"/>
    </row>
    <row r="372">
      <c r="A372" s="39"/>
      <c r="B372" s="51"/>
      <c r="C372" s="52"/>
      <c r="D372" s="53"/>
      <c r="E372" s="53"/>
    </row>
    <row r="373">
      <c r="A373" s="39"/>
      <c r="B373" s="51"/>
      <c r="C373" s="52"/>
      <c r="D373" s="53"/>
      <c r="E373" s="53"/>
    </row>
    <row r="374">
      <c r="A374" s="39"/>
      <c r="B374" s="51"/>
      <c r="C374" s="52"/>
      <c r="D374" s="53"/>
      <c r="E374" s="53"/>
    </row>
    <row r="375">
      <c r="A375" s="39"/>
      <c r="B375" s="51"/>
      <c r="C375" s="52"/>
      <c r="D375" s="53"/>
      <c r="E375" s="53"/>
    </row>
    <row r="376">
      <c r="A376" s="39"/>
      <c r="B376" s="51"/>
      <c r="C376" s="52"/>
      <c r="D376" s="53"/>
      <c r="E376" s="53"/>
    </row>
    <row r="377">
      <c r="A377" s="39"/>
      <c r="B377" s="51"/>
      <c r="C377" s="52"/>
      <c r="D377" s="53"/>
      <c r="E377" s="53"/>
    </row>
    <row r="378">
      <c r="A378" s="39"/>
      <c r="B378" s="51"/>
      <c r="C378" s="52"/>
      <c r="D378" s="53"/>
      <c r="E378" s="53"/>
    </row>
    <row r="379">
      <c r="A379" s="39"/>
      <c r="B379" s="51"/>
      <c r="C379" s="52"/>
      <c r="D379" s="53"/>
      <c r="E379" s="53"/>
    </row>
    <row r="380">
      <c r="A380" s="39"/>
      <c r="B380" s="51"/>
      <c r="C380" s="52"/>
      <c r="D380" s="53"/>
      <c r="E380" s="53"/>
    </row>
    <row r="381">
      <c r="A381" s="39"/>
      <c r="B381" s="51"/>
      <c r="C381" s="52"/>
      <c r="D381" s="53"/>
      <c r="E381" s="53"/>
    </row>
    <row r="382">
      <c r="A382" s="39"/>
      <c r="B382" s="51"/>
      <c r="C382" s="52"/>
      <c r="D382" s="53"/>
      <c r="E382" s="53"/>
    </row>
    <row r="383">
      <c r="A383" s="39"/>
      <c r="B383" s="51"/>
      <c r="C383" s="52"/>
      <c r="D383" s="53"/>
      <c r="E383" s="53"/>
    </row>
    <row r="384">
      <c r="A384" s="39"/>
      <c r="B384" s="51"/>
      <c r="C384" s="52"/>
      <c r="D384" s="53"/>
      <c r="E384" s="53"/>
    </row>
    <row r="385">
      <c r="A385" s="39"/>
      <c r="B385" s="51"/>
      <c r="C385" s="52"/>
      <c r="D385" s="53"/>
      <c r="E385" s="53"/>
    </row>
    <row r="386">
      <c r="A386" s="39"/>
      <c r="B386" s="51"/>
      <c r="C386" s="52"/>
      <c r="D386" s="53"/>
      <c r="E386" s="53"/>
    </row>
    <row r="387">
      <c r="A387" s="39"/>
      <c r="B387" s="51"/>
      <c r="C387" s="52"/>
      <c r="D387" s="53"/>
      <c r="E387" s="53"/>
    </row>
    <row r="388">
      <c r="A388" s="39"/>
      <c r="B388" s="51"/>
      <c r="C388" s="52"/>
      <c r="D388" s="53"/>
      <c r="E388" s="53"/>
    </row>
    <row r="389">
      <c r="A389" s="39"/>
      <c r="B389" s="51"/>
      <c r="C389" s="52"/>
      <c r="D389" s="53"/>
      <c r="E389" s="53"/>
    </row>
    <row r="390">
      <c r="A390" s="39"/>
      <c r="B390" s="51"/>
      <c r="C390" s="52"/>
      <c r="D390" s="53"/>
      <c r="E390" s="53"/>
    </row>
    <row r="391">
      <c r="A391" s="39"/>
      <c r="B391" s="51"/>
      <c r="C391" s="52"/>
      <c r="D391" s="53"/>
      <c r="E391" s="53"/>
    </row>
    <row r="392">
      <c r="A392" s="39"/>
      <c r="B392" s="51"/>
      <c r="C392" s="52"/>
      <c r="D392" s="53"/>
      <c r="E392" s="53"/>
    </row>
    <row r="393">
      <c r="A393" s="39"/>
      <c r="B393" s="51"/>
      <c r="C393" s="52"/>
      <c r="D393" s="53"/>
      <c r="E393" s="53"/>
    </row>
    <row r="394">
      <c r="A394" s="39"/>
      <c r="B394" s="51"/>
      <c r="C394" s="52"/>
      <c r="D394" s="53"/>
      <c r="E394" s="53"/>
    </row>
    <row r="395">
      <c r="A395" s="39"/>
      <c r="B395" s="51"/>
      <c r="C395" s="52"/>
      <c r="D395" s="53"/>
      <c r="E395" s="53"/>
    </row>
    <row r="396">
      <c r="A396" s="39"/>
      <c r="B396" s="51"/>
      <c r="C396" s="52"/>
      <c r="D396" s="53"/>
      <c r="E396" s="53"/>
    </row>
    <row r="397">
      <c r="A397" s="39"/>
      <c r="B397" s="51"/>
      <c r="C397" s="52"/>
      <c r="D397" s="53"/>
      <c r="E397" s="53"/>
    </row>
    <row r="398">
      <c r="A398" s="39"/>
      <c r="B398" s="51"/>
      <c r="C398" s="52"/>
      <c r="D398" s="53"/>
      <c r="E398" s="53"/>
    </row>
    <row r="399">
      <c r="A399" s="39"/>
      <c r="B399" s="51"/>
      <c r="C399" s="52"/>
      <c r="D399" s="53"/>
      <c r="E399" s="53"/>
    </row>
    <row r="400">
      <c r="A400" s="39"/>
      <c r="B400" s="51"/>
      <c r="C400" s="52"/>
      <c r="D400" s="53"/>
      <c r="E400" s="53"/>
    </row>
    <row r="401">
      <c r="A401" s="39"/>
      <c r="B401" s="51"/>
      <c r="C401" s="52"/>
      <c r="D401" s="53"/>
      <c r="E401" s="53"/>
    </row>
    <row r="402">
      <c r="A402" s="39"/>
      <c r="B402" s="51"/>
      <c r="C402" s="52"/>
      <c r="D402" s="53"/>
      <c r="E402" s="53"/>
    </row>
    <row r="403">
      <c r="A403" s="39"/>
      <c r="B403" s="51"/>
      <c r="C403" s="52"/>
      <c r="D403" s="53"/>
      <c r="E403" s="53"/>
    </row>
    <row r="404">
      <c r="A404" s="39"/>
      <c r="B404" s="51"/>
      <c r="C404" s="52"/>
      <c r="D404" s="53"/>
      <c r="E404" s="53"/>
    </row>
    <row r="405">
      <c r="A405" s="39"/>
      <c r="B405" s="51"/>
      <c r="C405" s="52"/>
      <c r="D405" s="53"/>
      <c r="E405" s="53"/>
    </row>
    <row r="406">
      <c r="A406" s="39"/>
      <c r="B406" s="51"/>
      <c r="C406" s="52"/>
      <c r="D406" s="53"/>
      <c r="E406" s="53"/>
    </row>
    <row r="407">
      <c r="A407" s="39"/>
      <c r="B407" s="51"/>
      <c r="C407" s="52"/>
      <c r="D407" s="53"/>
      <c r="E407" s="53"/>
    </row>
    <row r="408">
      <c r="A408" s="39"/>
      <c r="B408" s="51"/>
      <c r="C408" s="52"/>
      <c r="D408" s="53"/>
      <c r="E408" s="53"/>
    </row>
    <row r="409">
      <c r="A409" s="39"/>
      <c r="B409" s="51"/>
      <c r="C409" s="52"/>
      <c r="D409" s="53"/>
      <c r="E409" s="53"/>
    </row>
    <row r="410">
      <c r="A410" s="39"/>
      <c r="B410" s="51"/>
      <c r="C410" s="52"/>
      <c r="D410" s="53"/>
      <c r="E410" s="53"/>
    </row>
    <row r="411">
      <c r="A411" s="39"/>
      <c r="B411" s="51"/>
      <c r="C411" s="52"/>
      <c r="D411" s="53"/>
      <c r="E411" s="53"/>
    </row>
    <row r="412">
      <c r="A412" s="39"/>
      <c r="B412" s="51"/>
      <c r="C412" s="52"/>
      <c r="D412" s="53"/>
      <c r="E412" s="53"/>
    </row>
    <row r="413">
      <c r="A413" s="39"/>
      <c r="B413" s="51"/>
      <c r="C413" s="52"/>
      <c r="D413" s="53"/>
      <c r="E413" s="53"/>
    </row>
    <row r="414">
      <c r="A414" s="39"/>
      <c r="B414" s="51"/>
      <c r="C414" s="52"/>
      <c r="D414" s="53"/>
      <c r="E414" s="53"/>
    </row>
    <row r="415">
      <c r="A415" s="39"/>
      <c r="B415" s="51"/>
      <c r="C415" s="52"/>
      <c r="D415" s="53"/>
      <c r="E415" s="53"/>
    </row>
    <row r="416">
      <c r="A416" s="39"/>
      <c r="B416" s="51"/>
      <c r="C416" s="52"/>
      <c r="D416" s="53"/>
      <c r="E416" s="53"/>
    </row>
    <row r="417">
      <c r="A417" s="39"/>
      <c r="B417" s="51"/>
      <c r="C417" s="52"/>
      <c r="D417" s="53"/>
      <c r="E417" s="53"/>
    </row>
    <row r="418">
      <c r="A418" s="39"/>
      <c r="B418" s="51"/>
      <c r="C418" s="52"/>
      <c r="D418" s="53"/>
      <c r="E418" s="53"/>
    </row>
    <row r="419">
      <c r="A419" s="39"/>
      <c r="B419" s="51"/>
      <c r="C419" s="52"/>
      <c r="D419" s="53"/>
      <c r="E419" s="53"/>
    </row>
    <row r="420">
      <c r="A420" s="39"/>
      <c r="B420" s="51"/>
      <c r="C420" s="52"/>
      <c r="D420" s="53"/>
      <c r="E420" s="53"/>
    </row>
    <row r="421">
      <c r="A421" s="39"/>
      <c r="B421" s="51"/>
      <c r="C421" s="52"/>
      <c r="D421" s="53"/>
      <c r="E421" s="53"/>
    </row>
    <row r="422">
      <c r="A422" s="39"/>
      <c r="B422" s="51"/>
      <c r="C422" s="52"/>
      <c r="D422" s="53"/>
      <c r="E422" s="53"/>
    </row>
    <row r="423">
      <c r="A423" s="39"/>
      <c r="B423" s="51"/>
      <c r="C423" s="52"/>
      <c r="D423" s="53"/>
      <c r="E423" s="53"/>
    </row>
    <row r="424">
      <c r="A424" s="39"/>
      <c r="B424" s="51"/>
      <c r="C424" s="52"/>
      <c r="D424" s="53"/>
      <c r="E424" s="53"/>
    </row>
    <row r="425">
      <c r="A425" s="39"/>
      <c r="B425" s="51"/>
      <c r="C425" s="52"/>
      <c r="D425" s="53"/>
      <c r="E425" s="53"/>
    </row>
    <row r="426">
      <c r="A426" s="39"/>
      <c r="B426" s="51"/>
      <c r="C426" s="52"/>
      <c r="D426" s="53"/>
      <c r="E426" s="53"/>
    </row>
    <row r="427">
      <c r="A427" s="39"/>
      <c r="B427" s="51"/>
      <c r="C427" s="52"/>
      <c r="D427" s="53"/>
      <c r="E427" s="53"/>
    </row>
    <row r="428">
      <c r="A428" s="39"/>
      <c r="B428" s="51"/>
      <c r="C428" s="52"/>
      <c r="D428" s="53"/>
      <c r="E428" s="53"/>
    </row>
    <row r="429">
      <c r="A429" s="39"/>
      <c r="B429" s="51"/>
      <c r="C429" s="52"/>
      <c r="D429" s="53"/>
      <c r="E429" s="53"/>
    </row>
    <row r="430">
      <c r="A430" s="39"/>
      <c r="B430" s="51"/>
      <c r="C430" s="52"/>
      <c r="D430" s="53"/>
      <c r="E430" s="53"/>
    </row>
    <row r="431">
      <c r="A431" s="39"/>
      <c r="B431" s="51"/>
      <c r="C431" s="52"/>
      <c r="D431" s="53"/>
      <c r="E431" s="53"/>
    </row>
    <row r="432">
      <c r="A432" s="39"/>
      <c r="B432" s="51"/>
      <c r="C432" s="52"/>
      <c r="D432" s="53"/>
      <c r="E432" s="53"/>
    </row>
    <row r="433">
      <c r="A433" s="39"/>
      <c r="B433" s="51"/>
      <c r="C433" s="52"/>
      <c r="D433" s="53"/>
      <c r="E433" s="53"/>
    </row>
    <row r="434">
      <c r="A434" s="39"/>
      <c r="B434" s="51"/>
      <c r="C434" s="52"/>
      <c r="D434" s="53"/>
      <c r="E434" s="53"/>
    </row>
    <row r="435">
      <c r="A435" s="39"/>
      <c r="B435" s="51"/>
      <c r="C435" s="52"/>
      <c r="D435" s="53"/>
      <c r="E435" s="53"/>
    </row>
    <row r="436">
      <c r="A436" s="39"/>
      <c r="B436" s="51"/>
      <c r="C436" s="52"/>
      <c r="D436" s="53"/>
      <c r="E436" s="53"/>
    </row>
    <row r="437">
      <c r="A437" s="39"/>
      <c r="B437" s="51"/>
      <c r="C437" s="52"/>
      <c r="D437" s="53"/>
      <c r="E437" s="53"/>
    </row>
    <row r="438">
      <c r="A438" s="39"/>
      <c r="B438" s="51"/>
      <c r="C438" s="52"/>
      <c r="D438" s="53"/>
      <c r="E438" s="53"/>
    </row>
    <row r="439">
      <c r="A439" s="39"/>
      <c r="B439" s="51"/>
      <c r="C439" s="52"/>
      <c r="D439" s="53"/>
      <c r="E439" s="53"/>
    </row>
    <row r="440">
      <c r="A440" s="39"/>
      <c r="B440" s="51"/>
      <c r="C440" s="52"/>
      <c r="D440" s="53"/>
      <c r="E440" s="53"/>
    </row>
    <row r="441">
      <c r="A441" s="39"/>
      <c r="B441" s="51"/>
      <c r="C441" s="52"/>
      <c r="D441" s="53"/>
      <c r="E441" s="53"/>
    </row>
    <row r="442">
      <c r="A442" s="39"/>
      <c r="B442" s="51"/>
      <c r="C442" s="52"/>
      <c r="D442" s="53"/>
      <c r="E442" s="53"/>
    </row>
    <row r="443">
      <c r="A443" s="39"/>
      <c r="B443" s="51"/>
      <c r="C443" s="52"/>
      <c r="D443" s="53"/>
      <c r="E443" s="53"/>
    </row>
    <row r="444">
      <c r="A444" s="39"/>
      <c r="B444" s="51"/>
      <c r="C444" s="52"/>
      <c r="D444" s="53"/>
      <c r="E444" s="53"/>
    </row>
    <row r="445">
      <c r="A445" s="39"/>
      <c r="B445" s="51"/>
      <c r="C445" s="52"/>
      <c r="D445" s="53"/>
      <c r="E445" s="53"/>
    </row>
    <row r="446">
      <c r="A446" s="39"/>
      <c r="B446" s="51"/>
      <c r="C446" s="52"/>
      <c r="D446" s="53"/>
      <c r="E446" s="53"/>
    </row>
    <row r="447">
      <c r="A447" s="39"/>
      <c r="B447" s="51"/>
      <c r="C447" s="52"/>
      <c r="D447" s="53"/>
      <c r="E447" s="53"/>
    </row>
    <row r="448">
      <c r="A448" s="39"/>
      <c r="B448" s="51"/>
      <c r="C448" s="52"/>
      <c r="D448" s="53"/>
      <c r="E448" s="53"/>
    </row>
    <row r="449">
      <c r="A449" s="39"/>
      <c r="B449" s="51"/>
      <c r="C449" s="52"/>
      <c r="D449" s="53"/>
      <c r="E449" s="53"/>
    </row>
    <row r="450">
      <c r="A450" s="39"/>
      <c r="B450" s="51"/>
      <c r="C450" s="52"/>
      <c r="D450" s="53"/>
      <c r="E450" s="53"/>
    </row>
    <row r="451">
      <c r="A451" s="39"/>
      <c r="B451" s="51"/>
      <c r="C451" s="52"/>
      <c r="D451" s="53"/>
      <c r="E451" s="53"/>
    </row>
    <row r="452">
      <c r="A452" s="39"/>
      <c r="B452" s="51"/>
      <c r="C452" s="52"/>
      <c r="D452" s="53"/>
      <c r="E452" s="53"/>
    </row>
    <row r="453">
      <c r="A453" s="39"/>
      <c r="B453" s="51"/>
      <c r="C453" s="52"/>
      <c r="D453" s="53"/>
      <c r="E453" s="53"/>
    </row>
    <row r="454">
      <c r="A454" s="39"/>
      <c r="B454" s="51"/>
      <c r="C454" s="52"/>
      <c r="D454" s="53"/>
      <c r="E454" s="53"/>
    </row>
    <row r="455">
      <c r="A455" s="39"/>
      <c r="B455" s="51"/>
      <c r="C455" s="52"/>
      <c r="D455" s="53"/>
      <c r="E455" s="53"/>
    </row>
    <row r="456">
      <c r="A456" s="39"/>
      <c r="B456" s="51"/>
      <c r="C456" s="52"/>
      <c r="D456" s="53"/>
      <c r="E456" s="53"/>
    </row>
    <row r="457">
      <c r="A457" s="39"/>
      <c r="B457" s="51"/>
      <c r="C457" s="52"/>
      <c r="D457" s="53"/>
      <c r="E457" s="53"/>
    </row>
    <row r="458">
      <c r="A458" s="39"/>
      <c r="B458" s="51"/>
      <c r="C458" s="52"/>
      <c r="D458" s="53"/>
      <c r="E458" s="53"/>
    </row>
    <row r="459">
      <c r="A459" s="39"/>
      <c r="B459" s="51"/>
      <c r="C459" s="52"/>
      <c r="D459" s="53"/>
      <c r="E459" s="53"/>
    </row>
    <row r="460">
      <c r="A460" s="39"/>
      <c r="B460" s="51"/>
      <c r="C460" s="52"/>
      <c r="D460" s="53"/>
      <c r="E460" s="53"/>
    </row>
    <row r="461">
      <c r="A461" s="39"/>
      <c r="B461" s="51"/>
      <c r="C461" s="52"/>
      <c r="D461" s="53"/>
      <c r="E461" s="53"/>
    </row>
    <row r="462">
      <c r="A462" s="39"/>
      <c r="B462" s="51"/>
      <c r="C462" s="52"/>
      <c r="D462" s="53"/>
      <c r="E462" s="53"/>
    </row>
    <row r="463">
      <c r="A463" s="39"/>
      <c r="B463" s="51"/>
      <c r="C463" s="52"/>
      <c r="D463" s="53"/>
      <c r="E463" s="53"/>
    </row>
    <row r="464">
      <c r="A464" s="39"/>
      <c r="B464" s="51"/>
      <c r="C464" s="52"/>
      <c r="D464" s="53"/>
      <c r="E464" s="53"/>
    </row>
    <row r="465">
      <c r="A465" s="39"/>
      <c r="B465" s="51"/>
      <c r="C465" s="52"/>
      <c r="D465" s="53"/>
      <c r="E465" s="53"/>
    </row>
    <row r="466">
      <c r="A466" s="39"/>
      <c r="B466" s="51"/>
      <c r="C466" s="52"/>
      <c r="D466" s="53"/>
      <c r="E466" s="53"/>
    </row>
    <row r="467">
      <c r="A467" s="39"/>
      <c r="B467" s="51"/>
      <c r="C467" s="52"/>
      <c r="D467" s="53"/>
      <c r="E467" s="53"/>
    </row>
    <row r="468">
      <c r="A468" s="39"/>
      <c r="B468" s="51"/>
      <c r="C468" s="52"/>
      <c r="D468" s="53"/>
      <c r="E468" s="53"/>
    </row>
    <row r="469">
      <c r="A469" s="39"/>
      <c r="B469" s="51"/>
      <c r="C469" s="52"/>
      <c r="D469" s="53"/>
      <c r="E469" s="53"/>
    </row>
    <row r="470">
      <c r="A470" s="39"/>
      <c r="B470" s="51"/>
      <c r="C470" s="52"/>
      <c r="D470" s="53"/>
      <c r="E470" s="53"/>
    </row>
    <row r="471">
      <c r="A471" s="39"/>
      <c r="B471" s="51"/>
      <c r="C471" s="52"/>
      <c r="D471" s="53"/>
      <c r="E471" s="53"/>
    </row>
    <row r="472">
      <c r="A472" s="39"/>
      <c r="B472" s="51"/>
      <c r="C472" s="52"/>
      <c r="D472" s="53"/>
      <c r="E472" s="53"/>
    </row>
    <row r="473">
      <c r="A473" s="39"/>
      <c r="B473" s="51"/>
      <c r="C473" s="52"/>
      <c r="D473" s="53"/>
      <c r="E473" s="53"/>
    </row>
    <row r="474">
      <c r="A474" s="39"/>
      <c r="B474" s="51"/>
      <c r="C474" s="52"/>
      <c r="D474" s="53"/>
      <c r="E474" s="53"/>
    </row>
    <row r="475">
      <c r="A475" s="39"/>
      <c r="B475" s="51"/>
      <c r="C475" s="52"/>
      <c r="D475" s="53"/>
      <c r="E475" s="53"/>
    </row>
    <row r="476">
      <c r="A476" s="39"/>
      <c r="B476" s="51"/>
      <c r="C476" s="52"/>
      <c r="D476" s="53"/>
      <c r="E476" s="53"/>
    </row>
    <row r="477">
      <c r="A477" s="39"/>
      <c r="B477" s="51"/>
      <c r="C477" s="52"/>
      <c r="D477" s="53"/>
      <c r="E477" s="53"/>
    </row>
    <row r="478">
      <c r="A478" s="39"/>
      <c r="B478" s="51"/>
      <c r="C478" s="52"/>
      <c r="D478" s="53"/>
      <c r="E478" s="53"/>
    </row>
    <row r="479">
      <c r="A479" s="39"/>
      <c r="B479" s="51"/>
      <c r="C479" s="52"/>
      <c r="D479" s="53"/>
      <c r="E479" s="53"/>
    </row>
    <row r="480">
      <c r="A480" s="39"/>
      <c r="B480" s="51"/>
      <c r="C480" s="52"/>
      <c r="D480" s="53"/>
      <c r="E480" s="53"/>
    </row>
    <row r="481">
      <c r="A481" s="39"/>
      <c r="B481" s="51"/>
      <c r="C481" s="52"/>
      <c r="D481" s="53"/>
      <c r="E481" s="53"/>
    </row>
    <row r="482">
      <c r="A482" s="39"/>
      <c r="B482" s="51"/>
      <c r="C482" s="52"/>
      <c r="D482" s="53"/>
      <c r="E482" s="53"/>
    </row>
    <row r="483">
      <c r="A483" s="39"/>
      <c r="B483" s="51"/>
      <c r="C483" s="52"/>
      <c r="D483" s="53"/>
      <c r="E483" s="53"/>
    </row>
    <row r="484">
      <c r="A484" s="39"/>
      <c r="B484" s="51"/>
      <c r="C484" s="52"/>
      <c r="D484" s="53"/>
      <c r="E484" s="53"/>
    </row>
    <row r="485">
      <c r="A485" s="39"/>
      <c r="B485" s="51"/>
      <c r="C485" s="52"/>
      <c r="D485" s="53"/>
      <c r="E485" s="53"/>
    </row>
    <row r="486">
      <c r="A486" s="39"/>
      <c r="B486" s="51"/>
      <c r="C486" s="52"/>
      <c r="D486" s="53"/>
      <c r="E486" s="53"/>
    </row>
    <row r="487">
      <c r="A487" s="39"/>
      <c r="B487" s="51"/>
      <c r="C487" s="52"/>
      <c r="D487" s="53"/>
      <c r="E487" s="53"/>
    </row>
    <row r="488">
      <c r="A488" s="39"/>
      <c r="B488" s="51"/>
      <c r="C488" s="52"/>
      <c r="D488" s="53"/>
      <c r="E488" s="53"/>
    </row>
    <row r="489">
      <c r="A489" s="39"/>
      <c r="B489" s="51"/>
      <c r="C489" s="52"/>
      <c r="D489" s="53"/>
      <c r="E489" s="53"/>
    </row>
    <row r="490">
      <c r="A490" s="39"/>
      <c r="B490" s="51"/>
      <c r="C490" s="52"/>
      <c r="D490" s="53"/>
      <c r="E490" s="53"/>
    </row>
    <row r="491">
      <c r="A491" s="39"/>
      <c r="B491" s="51"/>
      <c r="C491" s="52"/>
      <c r="D491" s="53"/>
      <c r="E491" s="53"/>
    </row>
    <row r="492">
      <c r="A492" s="39"/>
      <c r="B492" s="51"/>
      <c r="C492" s="52"/>
      <c r="D492" s="53"/>
      <c r="E492" s="53"/>
    </row>
    <row r="493">
      <c r="A493" s="39"/>
      <c r="B493" s="51"/>
      <c r="C493" s="52"/>
      <c r="D493" s="53"/>
      <c r="E493" s="53"/>
    </row>
    <row r="494">
      <c r="A494" s="39"/>
      <c r="B494" s="51"/>
      <c r="C494" s="52"/>
      <c r="D494" s="53"/>
      <c r="E494" s="53"/>
    </row>
    <row r="495">
      <c r="A495" s="39"/>
      <c r="B495" s="51"/>
      <c r="C495" s="52"/>
      <c r="D495" s="53"/>
      <c r="E495" s="53"/>
    </row>
    <row r="496">
      <c r="A496" s="39"/>
      <c r="B496" s="51"/>
      <c r="C496" s="52"/>
      <c r="D496" s="53"/>
      <c r="E496" s="53"/>
    </row>
    <row r="497">
      <c r="A497" s="39"/>
      <c r="B497" s="51"/>
      <c r="C497" s="52"/>
      <c r="D497" s="53"/>
      <c r="E497" s="53"/>
    </row>
    <row r="498">
      <c r="A498" s="39"/>
      <c r="B498" s="51"/>
      <c r="C498" s="52"/>
      <c r="D498" s="53"/>
      <c r="E498" s="53"/>
    </row>
    <row r="499">
      <c r="A499" s="39"/>
      <c r="B499" s="51"/>
      <c r="C499" s="52"/>
      <c r="D499" s="53"/>
      <c r="E499" s="53"/>
    </row>
    <row r="500">
      <c r="A500" s="39"/>
      <c r="B500" s="51"/>
      <c r="C500" s="52"/>
      <c r="D500" s="53"/>
      <c r="E500" s="53"/>
    </row>
    <row r="501">
      <c r="A501" s="39"/>
      <c r="B501" s="51"/>
      <c r="C501" s="52"/>
      <c r="D501" s="53"/>
      <c r="E501" s="53"/>
    </row>
    <row r="502">
      <c r="A502" s="39"/>
      <c r="B502" s="51"/>
      <c r="C502" s="52"/>
      <c r="D502" s="53"/>
      <c r="E502" s="53"/>
    </row>
    <row r="503">
      <c r="A503" s="39"/>
      <c r="B503" s="51"/>
      <c r="C503" s="52"/>
      <c r="D503" s="53"/>
      <c r="E503" s="53"/>
    </row>
    <row r="504">
      <c r="A504" s="39"/>
      <c r="B504" s="51"/>
      <c r="C504" s="52"/>
      <c r="D504" s="53"/>
      <c r="E504" s="53"/>
    </row>
    <row r="505">
      <c r="A505" s="39"/>
      <c r="B505" s="51"/>
      <c r="C505" s="52"/>
      <c r="D505" s="53"/>
      <c r="E505" s="53"/>
    </row>
    <row r="506">
      <c r="A506" s="39"/>
      <c r="B506" s="51"/>
      <c r="C506" s="52"/>
      <c r="D506" s="53"/>
      <c r="E506" s="53"/>
    </row>
    <row r="507">
      <c r="A507" s="39"/>
      <c r="B507" s="51"/>
      <c r="C507" s="52"/>
      <c r="D507" s="53"/>
      <c r="E507" s="53"/>
    </row>
    <row r="508">
      <c r="A508" s="39"/>
      <c r="B508" s="51"/>
      <c r="C508" s="52"/>
      <c r="D508" s="53"/>
      <c r="E508" s="53"/>
    </row>
    <row r="509">
      <c r="A509" s="39"/>
      <c r="B509" s="51"/>
      <c r="C509" s="52"/>
      <c r="D509" s="53"/>
      <c r="E509" s="53"/>
    </row>
    <row r="510">
      <c r="A510" s="39"/>
      <c r="B510" s="51"/>
      <c r="C510" s="52"/>
      <c r="D510" s="53"/>
      <c r="E510" s="53"/>
    </row>
    <row r="511">
      <c r="A511" s="39"/>
      <c r="B511" s="51"/>
      <c r="C511" s="52"/>
      <c r="D511" s="53"/>
      <c r="E511" s="53"/>
    </row>
    <row r="512">
      <c r="A512" s="39"/>
      <c r="B512" s="51"/>
      <c r="C512" s="52"/>
      <c r="D512" s="53"/>
      <c r="E512" s="53"/>
    </row>
    <row r="513">
      <c r="A513" s="39"/>
      <c r="B513" s="51"/>
      <c r="C513" s="52"/>
      <c r="D513" s="53"/>
      <c r="E513" s="53"/>
    </row>
    <row r="514">
      <c r="A514" s="39"/>
      <c r="B514" s="51"/>
      <c r="C514" s="52"/>
      <c r="D514" s="53"/>
      <c r="E514" s="53"/>
    </row>
    <row r="515">
      <c r="A515" s="39"/>
      <c r="B515" s="51"/>
      <c r="C515" s="52"/>
      <c r="D515" s="53"/>
      <c r="E515" s="53"/>
    </row>
    <row r="516">
      <c r="A516" s="39"/>
      <c r="B516" s="51"/>
      <c r="C516" s="52"/>
      <c r="D516" s="53"/>
      <c r="E516" s="53"/>
    </row>
    <row r="517">
      <c r="A517" s="39"/>
      <c r="B517" s="51"/>
      <c r="C517" s="52"/>
      <c r="D517" s="53"/>
      <c r="E517" s="53"/>
    </row>
    <row r="518">
      <c r="A518" s="39"/>
      <c r="B518" s="51"/>
      <c r="C518" s="52"/>
      <c r="D518" s="53"/>
      <c r="E518" s="53"/>
    </row>
    <row r="519">
      <c r="A519" s="39"/>
      <c r="B519" s="51"/>
      <c r="C519" s="52"/>
      <c r="D519" s="53"/>
      <c r="E519" s="53"/>
    </row>
    <row r="520">
      <c r="A520" s="39"/>
      <c r="B520" s="51"/>
      <c r="C520" s="52"/>
      <c r="D520" s="53"/>
      <c r="E520" s="53"/>
    </row>
    <row r="521">
      <c r="A521" s="39"/>
      <c r="B521" s="51"/>
      <c r="C521" s="52"/>
      <c r="D521" s="53"/>
      <c r="E521" s="53"/>
    </row>
    <row r="522">
      <c r="A522" s="39"/>
      <c r="B522" s="51"/>
      <c r="C522" s="52"/>
      <c r="D522" s="53"/>
      <c r="E522" s="53"/>
    </row>
    <row r="523">
      <c r="A523" s="39"/>
      <c r="B523" s="51"/>
      <c r="C523" s="52"/>
      <c r="D523" s="53"/>
      <c r="E523" s="53"/>
    </row>
    <row r="524">
      <c r="A524" s="39"/>
      <c r="B524" s="51"/>
      <c r="C524" s="52"/>
      <c r="D524" s="53"/>
      <c r="E524" s="53"/>
    </row>
    <row r="525">
      <c r="A525" s="39"/>
      <c r="B525" s="51"/>
      <c r="C525" s="52"/>
      <c r="D525" s="53"/>
      <c r="E525" s="53"/>
    </row>
    <row r="526">
      <c r="A526" s="39"/>
      <c r="B526" s="51"/>
      <c r="C526" s="52"/>
      <c r="D526" s="53"/>
      <c r="E526" s="53"/>
    </row>
    <row r="527">
      <c r="A527" s="39"/>
      <c r="B527" s="51"/>
      <c r="C527" s="52"/>
      <c r="D527" s="53"/>
      <c r="E527" s="53"/>
    </row>
    <row r="528">
      <c r="A528" s="39"/>
      <c r="B528" s="51"/>
      <c r="C528" s="52"/>
      <c r="D528" s="53"/>
      <c r="E528" s="53"/>
    </row>
    <row r="529">
      <c r="A529" s="39"/>
      <c r="B529" s="51"/>
      <c r="C529" s="52"/>
      <c r="D529" s="53"/>
      <c r="E529" s="53"/>
    </row>
    <row r="530">
      <c r="A530" s="39"/>
      <c r="B530" s="51"/>
      <c r="C530" s="52"/>
      <c r="D530" s="53"/>
      <c r="E530" s="53"/>
    </row>
    <row r="531">
      <c r="A531" s="39"/>
      <c r="B531" s="51"/>
      <c r="C531" s="52"/>
      <c r="D531" s="53"/>
      <c r="E531" s="53"/>
    </row>
    <row r="532">
      <c r="A532" s="39"/>
      <c r="B532" s="51"/>
      <c r="C532" s="52"/>
      <c r="D532" s="53"/>
      <c r="E532" s="53"/>
    </row>
    <row r="533">
      <c r="A533" s="39"/>
      <c r="B533" s="51"/>
      <c r="C533" s="52"/>
      <c r="D533" s="53"/>
      <c r="E533" s="53"/>
    </row>
    <row r="534">
      <c r="A534" s="39"/>
      <c r="B534" s="51"/>
      <c r="C534" s="52"/>
      <c r="D534" s="53"/>
      <c r="E534" s="53"/>
    </row>
    <row r="535">
      <c r="A535" s="39"/>
      <c r="B535" s="51"/>
      <c r="C535" s="52"/>
      <c r="D535" s="53"/>
      <c r="E535" s="53"/>
    </row>
    <row r="536">
      <c r="A536" s="39"/>
      <c r="B536" s="51"/>
      <c r="C536" s="52"/>
      <c r="D536" s="53"/>
      <c r="E536" s="53"/>
    </row>
    <row r="537">
      <c r="A537" s="39"/>
      <c r="B537" s="51"/>
      <c r="C537" s="52"/>
      <c r="D537" s="53"/>
      <c r="E537" s="53"/>
    </row>
    <row r="538">
      <c r="A538" s="39"/>
      <c r="B538" s="51"/>
      <c r="C538" s="52"/>
      <c r="D538" s="53"/>
      <c r="E538" s="53"/>
    </row>
    <row r="539">
      <c r="A539" s="39"/>
      <c r="B539" s="51"/>
      <c r="C539" s="52"/>
      <c r="D539" s="53"/>
      <c r="E539" s="53"/>
    </row>
    <row r="540">
      <c r="A540" s="39"/>
      <c r="B540" s="51"/>
      <c r="C540" s="52"/>
      <c r="D540" s="53"/>
      <c r="E540" s="53"/>
    </row>
    <row r="541">
      <c r="A541" s="39"/>
      <c r="B541" s="51"/>
      <c r="C541" s="52"/>
      <c r="D541" s="53"/>
      <c r="E541" s="53"/>
    </row>
    <row r="542">
      <c r="A542" s="39"/>
      <c r="B542" s="51"/>
      <c r="C542" s="52"/>
      <c r="D542" s="53"/>
      <c r="E542" s="53"/>
    </row>
    <row r="543">
      <c r="A543" s="39"/>
      <c r="B543" s="51"/>
      <c r="C543" s="52"/>
      <c r="D543" s="53"/>
      <c r="E543" s="53"/>
    </row>
    <row r="544">
      <c r="A544" s="39"/>
      <c r="B544" s="51"/>
      <c r="C544" s="52"/>
      <c r="D544" s="53"/>
      <c r="E544" s="53"/>
    </row>
    <row r="545">
      <c r="A545" s="39"/>
      <c r="B545" s="51"/>
      <c r="C545" s="52"/>
      <c r="D545" s="53"/>
      <c r="E545" s="53"/>
    </row>
    <row r="546">
      <c r="A546" s="39"/>
      <c r="B546" s="51"/>
      <c r="C546" s="52"/>
      <c r="D546" s="53"/>
      <c r="E546" s="53"/>
    </row>
    <row r="547">
      <c r="A547" s="39"/>
      <c r="B547" s="51"/>
      <c r="C547" s="52"/>
      <c r="D547" s="53"/>
      <c r="E547" s="53"/>
    </row>
    <row r="548">
      <c r="A548" s="39"/>
      <c r="B548" s="51"/>
      <c r="C548" s="52"/>
      <c r="D548" s="53"/>
      <c r="E548" s="53"/>
    </row>
    <row r="549">
      <c r="A549" s="39"/>
      <c r="B549" s="51"/>
      <c r="C549" s="52"/>
      <c r="D549" s="53"/>
      <c r="E549" s="53"/>
    </row>
    <row r="550">
      <c r="A550" s="39"/>
      <c r="B550" s="51"/>
      <c r="C550" s="52"/>
      <c r="D550" s="53"/>
      <c r="E550" s="53"/>
    </row>
    <row r="551">
      <c r="A551" s="39"/>
      <c r="B551" s="51"/>
      <c r="C551" s="52"/>
      <c r="D551" s="53"/>
      <c r="E551" s="53"/>
    </row>
    <row r="552">
      <c r="A552" s="39"/>
      <c r="B552" s="51"/>
      <c r="C552" s="52"/>
      <c r="D552" s="53"/>
      <c r="E552" s="53"/>
    </row>
    <row r="553">
      <c r="A553" s="39"/>
      <c r="B553" s="51"/>
      <c r="C553" s="52"/>
      <c r="D553" s="53"/>
      <c r="E553" s="53"/>
    </row>
    <row r="554">
      <c r="A554" s="39"/>
      <c r="B554" s="51"/>
      <c r="C554" s="52"/>
      <c r="D554" s="53"/>
      <c r="E554" s="53"/>
    </row>
    <row r="555">
      <c r="A555" s="39"/>
      <c r="B555" s="51"/>
      <c r="C555" s="52"/>
      <c r="D555" s="53"/>
      <c r="E555" s="53"/>
    </row>
    <row r="556">
      <c r="A556" s="39"/>
      <c r="B556" s="51"/>
      <c r="C556" s="52"/>
      <c r="D556" s="53"/>
      <c r="E556" s="53"/>
    </row>
    <row r="557">
      <c r="A557" s="39"/>
      <c r="B557" s="51"/>
      <c r="C557" s="52"/>
      <c r="D557" s="53"/>
      <c r="E557" s="53"/>
    </row>
    <row r="558">
      <c r="A558" s="39"/>
      <c r="B558" s="51"/>
      <c r="C558" s="52"/>
      <c r="D558" s="53"/>
      <c r="E558" s="53"/>
    </row>
    <row r="559">
      <c r="A559" s="39"/>
      <c r="B559" s="51"/>
      <c r="C559" s="52"/>
      <c r="D559" s="53"/>
      <c r="E559" s="53"/>
    </row>
    <row r="560">
      <c r="A560" s="39"/>
      <c r="B560" s="51"/>
      <c r="C560" s="52"/>
      <c r="D560" s="53"/>
      <c r="E560" s="53"/>
    </row>
    <row r="561">
      <c r="A561" s="39"/>
      <c r="B561" s="51"/>
      <c r="C561" s="52"/>
      <c r="D561" s="53"/>
      <c r="E561" s="53"/>
    </row>
    <row r="562">
      <c r="A562" s="39"/>
      <c r="B562" s="51"/>
      <c r="C562" s="52"/>
      <c r="D562" s="53"/>
      <c r="E562" s="53"/>
    </row>
    <row r="563">
      <c r="A563" s="39"/>
      <c r="B563" s="51"/>
      <c r="C563" s="52"/>
      <c r="D563" s="53"/>
      <c r="E563" s="53"/>
    </row>
    <row r="564">
      <c r="A564" s="39"/>
      <c r="B564" s="51"/>
      <c r="C564" s="52"/>
      <c r="D564" s="53"/>
      <c r="E564" s="53"/>
    </row>
    <row r="565">
      <c r="A565" s="39"/>
      <c r="B565" s="51"/>
      <c r="C565" s="52"/>
      <c r="D565" s="53"/>
      <c r="E565" s="53"/>
    </row>
    <row r="566">
      <c r="A566" s="39"/>
      <c r="B566" s="51"/>
      <c r="C566" s="52"/>
      <c r="D566" s="53"/>
      <c r="E566" s="53"/>
    </row>
    <row r="567">
      <c r="A567" s="39"/>
      <c r="B567" s="51"/>
      <c r="C567" s="52"/>
      <c r="D567" s="53"/>
      <c r="E567" s="53"/>
    </row>
    <row r="568">
      <c r="A568" s="39"/>
      <c r="B568" s="51"/>
      <c r="C568" s="52"/>
      <c r="D568" s="53"/>
      <c r="E568" s="53"/>
    </row>
    <row r="569">
      <c r="A569" s="39"/>
      <c r="B569" s="51"/>
      <c r="C569" s="52"/>
      <c r="D569" s="53"/>
      <c r="E569" s="53"/>
    </row>
    <row r="570">
      <c r="A570" s="39"/>
      <c r="B570" s="51"/>
      <c r="C570" s="52"/>
      <c r="D570" s="53"/>
      <c r="E570" s="53"/>
    </row>
    <row r="571">
      <c r="A571" s="39"/>
      <c r="B571" s="51"/>
      <c r="C571" s="52"/>
      <c r="D571" s="53"/>
      <c r="E571" s="53"/>
    </row>
    <row r="572">
      <c r="A572" s="39"/>
      <c r="B572" s="51"/>
      <c r="C572" s="52"/>
      <c r="D572" s="53"/>
      <c r="E572" s="53"/>
    </row>
    <row r="573">
      <c r="A573" s="39"/>
      <c r="B573" s="51"/>
      <c r="C573" s="52"/>
      <c r="D573" s="53"/>
      <c r="E573" s="53"/>
    </row>
    <row r="574">
      <c r="A574" s="39"/>
      <c r="B574" s="51"/>
      <c r="C574" s="52"/>
      <c r="D574" s="53"/>
      <c r="E574" s="53"/>
    </row>
    <row r="575">
      <c r="A575" s="39"/>
      <c r="B575" s="51"/>
      <c r="C575" s="52"/>
      <c r="D575" s="53"/>
      <c r="E575" s="53"/>
    </row>
    <row r="576">
      <c r="A576" s="39"/>
      <c r="B576" s="51"/>
      <c r="C576" s="52"/>
      <c r="D576" s="53"/>
      <c r="E576" s="53"/>
    </row>
    <row r="577">
      <c r="A577" s="39"/>
      <c r="B577" s="51"/>
      <c r="C577" s="52"/>
      <c r="D577" s="53"/>
      <c r="E577" s="53"/>
    </row>
    <row r="578">
      <c r="A578" s="39"/>
      <c r="B578" s="51"/>
      <c r="C578" s="52"/>
      <c r="D578" s="53"/>
      <c r="E578" s="53"/>
    </row>
    <row r="579">
      <c r="A579" s="39"/>
      <c r="B579" s="51"/>
      <c r="C579" s="52"/>
      <c r="D579" s="53"/>
      <c r="E579" s="53"/>
    </row>
    <row r="580">
      <c r="A580" s="39"/>
      <c r="B580" s="51"/>
      <c r="C580" s="52"/>
      <c r="D580" s="53"/>
      <c r="E580" s="53"/>
    </row>
    <row r="581">
      <c r="A581" s="39"/>
      <c r="B581" s="51"/>
      <c r="C581" s="52"/>
      <c r="D581" s="53"/>
      <c r="E581" s="53"/>
    </row>
    <row r="582">
      <c r="A582" s="39"/>
      <c r="B582" s="51"/>
      <c r="C582" s="52"/>
      <c r="D582" s="53"/>
      <c r="E582" s="53"/>
    </row>
    <row r="583">
      <c r="A583" s="39"/>
      <c r="B583" s="51"/>
      <c r="C583" s="52"/>
      <c r="D583" s="53"/>
      <c r="E583" s="53"/>
    </row>
    <row r="584">
      <c r="A584" s="39"/>
      <c r="B584" s="51"/>
      <c r="C584" s="52"/>
      <c r="D584" s="53"/>
      <c r="E584" s="53"/>
    </row>
    <row r="585">
      <c r="A585" s="39"/>
      <c r="B585" s="51"/>
      <c r="C585" s="52"/>
      <c r="D585" s="53"/>
      <c r="E585" s="53"/>
    </row>
    <row r="586">
      <c r="A586" s="39"/>
      <c r="B586" s="51"/>
      <c r="C586" s="52"/>
      <c r="D586" s="53"/>
      <c r="E586" s="53"/>
    </row>
    <row r="587">
      <c r="A587" s="39"/>
      <c r="B587" s="51"/>
      <c r="C587" s="52"/>
      <c r="D587" s="53"/>
      <c r="E587" s="53"/>
    </row>
    <row r="588">
      <c r="A588" s="39"/>
      <c r="B588" s="51"/>
      <c r="C588" s="52"/>
      <c r="D588" s="53"/>
      <c r="E588" s="53"/>
    </row>
    <row r="589">
      <c r="A589" s="39"/>
      <c r="B589" s="51"/>
      <c r="C589" s="52"/>
      <c r="D589" s="53"/>
      <c r="E589" s="53"/>
    </row>
    <row r="590">
      <c r="A590" s="39"/>
      <c r="B590" s="51"/>
      <c r="C590" s="52"/>
      <c r="D590" s="53"/>
      <c r="E590" s="53"/>
    </row>
    <row r="591">
      <c r="A591" s="39"/>
      <c r="B591" s="51"/>
      <c r="C591" s="52"/>
      <c r="D591" s="53"/>
      <c r="E591" s="53"/>
    </row>
    <row r="592">
      <c r="A592" s="39"/>
      <c r="B592" s="51"/>
      <c r="C592" s="52"/>
      <c r="D592" s="53"/>
      <c r="E592" s="53"/>
    </row>
    <row r="593">
      <c r="A593" s="39"/>
      <c r="B593" s="51"/>
      <c r="C593" s="52"/>
      <c r="D593" s="53"/>
      <c r="E593" s="53"/>
    </row>
    <row r="594">
      <c r="A594" s="39"/>
      <c r="B594" s="51"/>
      <c r="C594" s="52"/>
      <c r="D594" s="53"/>
      <c r="E594" s="53"/>
    </row>
    <row r="595">
      <c r="A595" s="39"/>
      <c r="B595" s="51"/>
      <c r="C595" s="52"/>
      <c r="D595" s="53"/>
      <c r="E595" s="53"/>
    </row>
    <row r="596">
      <c r="A596" s="39"/>
      <c r="B596" s="51"/>
      <c r="C596" s="52"/>
      <c r="D596" s="53"/>
      <c r="E596" s="53"/>
    </row>
    <row r="597">
      <c r="A597" s="39"/>
      <c r="B597" s="51"/>
      <c r="C597" s="52"/>
      <c r="D597" s="53"/>
      <c r="E597" s="53"/>
    </row>
    <row r="598">
      <c r="A598" s="39"/>
      <c r="B598" s="51"/>
      <c r="C598" s="52"/>
      <c r="D598" s="53"/>
      <c r="E598" s="53"/>
    </row>
    <row r="599">
      <c r="A599" s="39"/>
      <c r="B599" s="51"/>
      <c r="C599" s="52"/>
      <c r="D599" s="53"/>
      <c r="E599" s="53"/>
    </row>
    <row r="600">
      <c r="A600" s="39"/>
      <c r="B600" s="51"/>
      <c r="C600" s="52"/>
      <c r="D600" s="53"/>
      <c r="E600" s="53"/>
    </row>
    <row r="601">
      <c r="A601" s="39"/>
      <c r="B601" s="51"/>
      <c r="C601" s="52"/>
      <c r="D601" s="53"/>
      <c r="E601" s="53"/>
    </row>
    <row r="602">
      <c r="A602" s="39"/>
      <c r="B602" s="51"/>
      <c r="C602" s="52"/>
      <c r="D602" s="53"/>
      <c r="E602" s="53"/>
    </row>
    <row r="603">
      <c r="A603" s="39"/>
      <c r="B603" s="51"/>
      <c r="C603" s="52"/>
      <c r="D603" s="53"/>
      <c r="E603" s="53"/>
    </row>
    <row r="604">
      <c r="A604" s="39"/>
      <c r="B604" s="51"/>
      <c r="C604" s="52"/>
      <c r="D604" s="53"/>
      <c r="E604" s="53"/>
    </row>
    <row r="605">
      <c r="A605" s="39"/>
      <c r="B605" s="51"/>
      <c r="C605" s="52"/>
      <c r="D605" s="53"/>
      <c r="E605" s="53"/>
    </row>
    <row r="606">
      <c r="A606" s="39"/>
      <c r="B606" s="51"/>
      <c r="C606" s="52"/>
      <c r="D606" s="53"/>
      <c r="E606" s="53"/>
    </row>
    <row r="607">
      <c r="A607" s="39"/>
      <c r="B607" s="51"/>
      <c r="C607" s="52"/>
      <c r="D607" s="53"/>
      <c r="E607" s="53"/>
    </row>
    <row r="608">
      <c r="A608" s="39"/>
      <c r="B608" s="51"/>
      <c r="C608" s="52"/>
      <c r="D608" s="53"/>
      <c r="E608" s="53"/>
    </row>
    <row r="609">
      <c r="A609" s="39"/>
      <c r="B609" s="51"/>
      <c r="C609" s="52"/>
      <c r="D609" s="53"/>
      <c r="E609" s="53"/>
    </row>
    <row r="610">
      <c r="A610" s="39"/>
      <c r="B610" s="51"/>
      <c r="C610" s="52"/>
      <c r="D610" s="53"/>
      <c r="E610" s="53"/>
    </row>
    <row r="611">
      <c r="A611" s="39"/>
      <c r="B611" s="51"/>
      <c r="C611" s="52"/>
      <c r="D611" s="53"/>
      <c r="E611" s="53"/>
    </row>
    <row r="612">
      <c r="A612" s="39"/>
      <c r="B612" s="51"/>
      <c r="C612" s="52"/>
      <c r="D612" s="53"/>
      <c r="E612" s="53"/>
    </row>
    <row r="613">
      <c r="A613" s="39"/>
      <c r="B613" s="51"/>
      <c r="C613" s="52"/>
      <c r="D613" s="53"/>
      <c r="E613" s="53"/>
    </row>
    <row r="614">
      <c r="A614" s="39"/>
      <c r="B614" s="51"/>
      <c r="C614" s="52"/>
      <c r="D614" s="53"/>
      <c r="E614" s="53"/>
    </row>
    <row r="615">
      <c r="A615" s="39"/>
      <c r="B615" s="51"/>
      <c r="C615" s="52"/>
      <c r="D615" s="53"/>
      <c r="E615" s="53"/>
    </row>
    <row r="616">
      <c r="A616" s="39"/>
      <c r="B616" s="51"/>
      <c r="C616" s="52"/>
      <c r="D616" s="53"/>
      <c r="E616" s="53"/>
    </row>
    <row r="617">
      <c r="A617" s="39"/>
      <c r="B617" s="51"/>
      <c r="C617" s="52"/>
      <c r="D617" s="53"/>
      <c r="E617" s="53"/>
    </row>
    <row r="618">
      <c r="A618" s="39"/>
      <c r="B618" s="51"/>
      <c r="C618" s="52"/>
      <c r="D618" s="53"/>
      <c r="E618" s="53"/>
    </row>
    <row r="619">
      <c r="A619" s="39"/>
      <c r="B619" s="51"/>
      <c r="C619" s="52"/>
      <c r="D619" s="53"/>
      <c r="E619" s="53"/>
    </row>
    <row r="620">
      <c r="A620" s="39"/>
      <c r="B620" s="51"/>
      <c r="C620" s="52"/>
      <c r="D620" s="53"/>
      <c r="E620" s="53"/>
    </row>
    <row r="621">
      <c r="A621" s="39"/>
      <c r="B621" s="51"/>
      <c r="C621" s="52"/>
      <c r="D621" s="53"/>
      <c r="E621" s="53"/>
    </row>
    <row r="622">
      <c r="A622" s="39"/>
      <c r="B622" s="51"/>
      <c r="C622" s="52"/>
      <c r="D622" s="53"/>
      <c r="E622" s="53"/>
    </row>
    <row r="623">
      <c r="A623" s="39"/>
      <c r="B623" s="51"/>
      <c r="C623" s="52"/>
      <c r="D623" s="53"/>
      <c r="E623" s="53"/>
    </row>
    <row r="624">
      <c r="A624" s="39"/>
      <c r="B624" s="51"/>
      <c r="C624" s="52"/>
      <c r="D624" s="53"/>
      <c r="E624" s="53"/>
    </row>
    <row r="625">
      <c r="A625" s="39"/>
      <c r="B625" s="51"/>
      <c r="C625" s="52"/>
      <c r="D625" s="53"/>
      <c r="E625" s="53"/>
    </row>
    <row r="626">
      <c r="A626" s="39"/>
      <c r="B626" s="51"/>
      <c r="C626" s="52"/>
      <c r="D626" s="53"/>
      <c r="E626" s="53"/>
    </row>
    <row r="627">
      <c r="A627" s="39"/>
      <c r="B627" s="51"/>
      <c r="C627" s="52"/>
      <c r="D627" s="53"/>
      <c r="E627" s="53"/>
    </row>
    <row r="628">
      <c r="A628" s="39"/>
      <c r="B628" s="51"/>
      <c r="C628" s="52"/>
      <c r="D628" s="53"/>
      <c r="E628" s="53"/>
    </row>
    <row r="629">
      <c r="A629" s="39"/>
      <c r="B629" s="51"/>
      <c r="C629" s="52"/>
      <c r="D629" s="53"/>
      <c r="E629" s="53"/>
    </row>
    <row r="630">
      <c r="A630" s="39"/>
      <c r="B630" s="51"/>
      <c r="C630" s="52"/>
      <c r="D630" s="53"/>
      <c r="E630" s="53"/>
    </row>
    <row r="631">
      <c r="A631" s="39"/>
      <c r="B631" s="51"/>
      <c r="C631" s="52"/>
      <c r="D631" s="53"/>
      <c r="E631" s="53"/>
    </row>
    <row r="632">
      <c r="A632" s="39"/>
      <c r="B632" s="51"/>
      <c r="C632" s="52"/>
      <c r="D632" s="53"/>
      <c r="E632" s="53"/>
    </row>
    <row r="633">
      <c r="A633" s="39"/>
      <c r="B633" s="51"/>
      <c r="C633" s="52"/>
      <c r="D633" s="53"/>
      <c r="E633" s="53"/>
    </row>
    <row r="634">
      <c r="A634" s="39"/>
      <c r="B634" s="51"/>
      <c r="C634" s="52"/>
      <c r="D634" s="53"/>
      <c r="E634" s="53"/>
    </row>
    <row r="635">
      <c r="A635" s="39"/>
      <c r="B635" s="51"/>
      <c r="C635" s="52"/>
      <c r="D635" s="53"/>
      <c r="E635" s="53"/>
    </row>
    <row r="636">
      <c r="A636" s="39"/>
      <c r="B636" s="51"/>
      <c r="C636" s="52"/>
      <c r="D636" s="53"/>
      <c r="E636" s="53"/>
    </row>
    <row r="637">
      <c r="A637" s="39"/>
      <c r="B637" s="51"/>
      <c r="C637" s="52"/>
      <c r="D637" s="53"/>
      <c r="E637" s="53"/>
    </row>
    <row r="638">
      <c r="A638" s="39"/>
      <c r="B638" s="51"/>
      <c r="C638" s="52"/>
      <c r="D638" s="53"/>
      <c r="E638" s="53"/>
    </row>
    <row r="639">
      <c r="A639" s="39"/>
      <c r="B639" s="51"/>
      <c r="C639" s="52"/>
      <c r="D639" s="53"/>
      <c r="E639" s="53"/>
    </row>
    <row r="640">
      <c r="A640" s="39"/>
      <c r="B640" s="51"/>
      <c r="C640" s="52"/>
      <c r="D640" s="53"/>
      <c r="E640" s="53"/>
    </row>
    <row r="641">
      <c r="A641" s="39"/>
      <c r="B641" s="51"/>
      <c r="C641" s="52"/>
      <c r="D641" s="53"/>
      <c r="E641" s="53"/>
    </row>
    <row r="642">
      <c r="A642" s="39"/>
      <c r="B642" s="51"/>
      <c r="C642" s="52"/>
      <c r="D642" s="53"/>
      <c r="E642" s="53"/>
    </row>
    <row r="643">
      <c r="A643" s="39"/>
      <c r="B643" s="51"/>
      <c r="C643" s="52"/>
      <c r="D643" s="53"/>
      <c r="E643" s="53"/>
    </row>
    <row r="644">
      <c r="A644" s="39"/>
      <c r="B644" s="51"/>
      <c r="C644" s="52"/>
      <c r="D644" s="53"/>
      <c r="E644" s="53"/>
    </row>
    <row r="645">
      <c r="A645" s="39"/>
      <c r="B645" s="51"/>
      <c r="C645" s="52"/>
      <c r="D645" s="53"/>
      <c r="E645" s="53"/>
    </row>
    <row r="646">
      <c r="A646" s="39"/>
      <c r="B646" s="51"/>
      <c r="C646" s="52"/>
      <c r="D646" s="53"/>
      <c r="E646" s="53"/>
    </row>
    <row r="647">
      <c r="A647" s="39"/>
      <c r="B647" s="51"/>
      <c r="C647" s="52"/>
      <c r="D647" s="53"/>
      <c r="E647" s="53"/>
    </row>
    <row r="648">
      <c r="A648" s="39"/>
      <c r="B648" s="51"/>
      <c r="C648" s="52"/>
      <c r="D648" s="53"/>
      <c r="E648" s="53"/>
    </row>
    <row r="649">
      <c r="A649" s="39"/>
      <c r="B649" s="51"/>
      <c r="C649" s="52"/>
      <c r="D649" s="53"/>
      <c r="E649" s="53"/>
    </row>
    <row r="650">
      <c r="A650" s="39"/>
      <c r="B650" s="51"/>
      <c r="C650" s="52"/>
      <c r="D650" s="53"/>
      <c r="E650" s="53"/>
    </row>
    <row r="651">
      <c r="A651" s="39"/>
      <c r="B651" s="51"/>
      <c r="C651" s="52"/>
      <c r="D651" s="53"/>
      <c r="E651" s="53"/>
    </row>
    <row r="652">
      <c r="A652" s="39"/>
      <c r="B652" s="51"/>
      <c r="C652" s="52"/>
      <c r="D652" s="53"/>
      <c r="E652" s="53"/>
    </row>
    <row r="653">
      <c r="A653" s="39"/>
      <c r="B653" s="51"/>
      <c r="C653" s="52"/>
      <c r="D653" s="53"/>
      <c r="E653" s="53"/>
    </row>
    <row r="654">
      <c r="A654" s="39"/>
      <c r="B654" s="51"/>
      <c r="C654" s="52"/>
      <c r="D654" s="53"/>
      <c r="E654" s="53"/>
    </row>
    <row r="655">
      <c r="A655" s="39"/>
      <c r="B655" s="51"/>
      <c r="C655" s="52"/>
      <c r="D655" s="53"/>
      <c r="E655" s="53"/>
    </row>
    <row r="656">
      <c r="A656" s="39"/>
      <c r="B656" s="51"/>
      <c r="C656" s="52"/>
      <c r="D656" s="53"/>
      <c r="E656" s="53"/>
    </row>
    <row r="657">
      <c r="A657" s="39"/>
      <c r="B657" s="51"/>
      <c r="C657" s="52"/>
      <c r="D657" s="53"/>
      <c r="E657" s="53"/>
    </row>
    <row r="658">
      <c r="A658" s="39"/>
      <c r="B658" s="51"/>
      <c r="C658" s="52"/>
      <c r="D658" s="53"/>
      <c r="E658" s="53"/>
    </row>
    <row r="659">
      <c r="A659" s="39"/>
      <c r="B659" s="51"/>
      <c r="C659" s="52"/>
      <c r="D659" s="53"/>
      <c r="E659" s="53"/>
    </row>
    <row r="660">
      <c r="A660" s="39"/>
      <c r="B660" s="51"/>
      <c r="C660" s="52"/>
      <c r="D660" s="53"/>
      <c r="E660" s="53"/>
    </row>
    <row r="661">
      <c r="A661" s="39"/>
      <c r="B661" s="51"/>
      <c r="C661" s="52"/>
      <c r="D661" s="53"/>
      <c r="E661" s="53"/>
    </row>
    <row r="662">
      <c r="A662" s="39"/>
      <c r="B662" s="51"/>
      <c r="C662" s="52"/>
      <c r="D662" s="53"/>
      <c r="E662" s="53"/>
    </row>
    <row r="663">
      <c r="A663" s="39"/>
      <c r="B663" s="51"/>
      <c r="C663" s="52"/>
      <c r="D663" s="53"/>
      <c r="E663" s="53"/>
    </row>
    <row r="664">
      <c r="A664" s="39"/>
      <c r="B664" s="51"/>
      <c r="C664" s="52"/>
      <c r="D664" s="53"/>
      <c r="E664" s="53"/>
    </row>
    <row r="665">
      <c r="A665" s="39"/>
      <c r="B665" s="51"/>
      <c r="C665" s="52"/>
      <c r="D665" s="53"/>
      <c r="E665" s="53"/>
    </row>
    <row r="666">
      <c r="A666" s="39"/>
      <c r="B666" s="51"/>
      <c r="C666" s="52"/>
      <c r="D666" s="53"/>
      <c r="E666" s="53"/>
    </row>
    <row r="667">
      <c r="A667" s="39"/>
      <c r="B667" s="51"/>
      <c r="C667" s="52"/>
      <c r="D667" s="53"/>
      <c r="E667" s="53"/>
    </row>
    <row r="668">
      <c r="A668" s="39"/>
      <c r="B668" s="51"/>
      <c r="C668" s="52"/>
      <c r="D668" s="53"/>
      <c r="E668" s="53"/>
    </row>
    <row r="669">
      <c r="A669" s="39"/>
      <c r="B669" s="51"/>
      <c r="C669" s="52"/>
      <c r="D669" s="53"/>
      <c r="E669" s="53"/>
    </row>
    <row r="670">
      <c r="A670" s="39"/>
      <c r="B670" s="51"/>
      <c r="C670" s="52"/>
      <c r="D670" s="53"/>
      <c r="E670" s="53"/>
    </row>
    <row r="671">
      <c r="A671" s="39"/>
      <c r="B671" s="51"/>
      <c r="C671" s="52"/>
      <c r="D671" s="53"/>
      <c r="E671" s="53"/>
    </row>
    <row r="672">
      <c r="A672" s="39"/>
      <c r="B672" s="51"/>
      <c r="C672" s="52"/>
      <c r="D672" s="53"/>
      <c r="E672" s="53"/>
    </row>
    <row r="673">
      <c r="A673" s="39"/>
      <c r="B673" s="51"/>
      <c r="C673" s="52"/>
      <c r="D673" s="53"/>
      <c r="E673" s="53"/>
    </row>
    <row r="674">
      <c r="A674" s="39"/>
      <c r="B674" s="51"/>
      <c r="C674" s="52"/>
      <c r="D674" s="53"/>
      <c r="E674" s="53"/>
    </row>
    <row r="675">
      <c r="A675" s="39"/>
      <c r="B675" s="51"/>
      <c r="C675" s="52"/>
      <c r="D675" s="53"/>
      <c r="E675" s="53"/>
    </row>
    <row r="676">
      <c r="A676" s="39"/>
      <c r="B676" s="51"/>
      <c r="C676" s="52"/>
      <c r="D676" s="53"/>
      <c r="E676" s="53"/>
    </row>
    <row r="677">
      <c r="A677" s="39"/>
      <c r="B677" s="51"/>
      <c r="C677" s="52"/>
      <c r="D677" s="53"/>
      <c r="E677" s="53"/>
    </row>
    <row r="678">
      <c r="A678" s="39"/>
      <c r="B678" s="51"/>
      <c r="C678" s="52"/>
      <c r="D678" s="53"/>
      <c r="E678" s="53"/>
    </row>
    <row r="679">
      <c r="A679" s="39"/>
      <c r="B679" s="51"/>
      <c r="C679" s="52"/>
      <c r="D679" s="53"/>
      <c r="E679" s="53"/>
    </row>
    <row r="680">
      <c r="A680" s="39"/>
      <c r="B680" s="51"/>
      <c r="C680" s="52"/>
      <c r="D680" s="53"/>
      <c r="E680" s="53"/>
    </row>
    <row r="681">
      <c r="A681" s="39"/>
      <c r="B681" s="51"/>
      <c r="C681" s="52"/>
      <c r="D681" s="53"/>
      <c r="E681" s="53"/>
    </row>
    <row r="682">
      <c r="A682" s="39"/>
      <c r="B682" s="51"/>
      <c r="C682" s="52"/>
      <c r="D682" s="53"/>
      <c r="E682" s="53"/>
    </row>
    <row r="683">
      <c r="A683" s="39"/>
      <c r="B683" s="51"/>
      <c r="C683" s="52"/>
      <c r="D683" s="53"/>
      <c r="E683" s="53"/>
    </row>
    <row r="684">
      <c r="A684" s="39"/>
      <c r="B684" s="51"/>
      <c r="C684" s="52"/>
      <c r="D684" s="53"/>
      <c r="E684" s="53"/>
    </row>
    <row r="685">
      <c r="A685" s="39"/>
      <c r="B685" s="51"/>
      <c r="C685" s="52"/>
      <c r="D685" s="53"/>
      <c r="E685" s="53"/>
    </row>
    <row r="686">
      <c r="A686" s="39"/>
      <c r="B686" s="51"/>
      <c r="C686" s="52"/>
      <c r="D686" s="53"/>
      <c r="E686" s="53"/>
    </row>
    <row r="687">
      <c r="A687" s="39"/>
      <c r="B687" s="51"/>
      <c r="C687" s="52"/>
      <c r="D687" s="53"/>
      <c r="E687" s="53"/>
    </row>
    <row r="688">
      <c r="A688" s="39"/>
      <c r="B688" s="51"/>
      <c r="C688" s="52"/>
      <c r="D688" s="53"/>
      <c r="E688" s="53"/>
    </row>
    <row r="689">
      <c r="A689" s="39"/>
      <c r="B689" s="51"/>
      <c r="C689" s="52"/>
      <c r="D689" s="53"/>
      <c r="E689" s="53"/>
    </row>
    <row r="690">
      <c r="A690" s="39"/>
      <c r="B690" s="51"/>
      <c r="C690" s="52"/>
      <c r="D690" s="53"/>
      <c r="E690" s="53"/>
    </row>
    <row r="691">
      <c r="A691" s="39"/>
      <c r="B691" s="51"/>
      <c r="C691" s="52"/>
      <c r="D691" s="53"/>
      <c r="E691" s="53"/>
    </row>
    <row r="692">
      <c r="A692" s="39"/>
      <c r="B692" s="51"/>
      <c r="C692" s="52"/>
      <c r="D692" s="53"/>
      <c r="E692" s="53"/>
    </row>
    <row r="693">
      <c r="A693" s="39"/>
      <c r="B693" s="51"/>
      <c r="C693" s="52"/>
      <c r="D693" s="53"/>
      <c r="E693" s="53"/>
    </row>
    <row r="694">
      <c r="A694" s="39"/>
      <c r="B694" s="51"/>
      <c r="C694" s="52"/>
      <c r="D694" s="53"/>
      <c r="E694" s="53"/>
    </row>
    <row r="695">
      <c r="A695" s="39"/>
      <c r="B695" s="51"/>
      <c r="C695" s="52"/>
      <c r="D695" s="53"/>
      <c r="E695" s="53"/>
    </row>
    <row r="696">
      <c r="A696" s="39"/>
      <c r="B696" s="51"/>
      <c r="C696" s="52"/>
      <c r="D696" s="53"/>
      <c r="E696" s="53"/>
    </row>
    <row r="697">
      <c r="A697" s="39"/>
      <c r="B697" s="51"/>
      <c r="C697" s="52"/>
      <c r="D697" s="53"/>
      <c r="E697" s="53"/>
    </row>
    <row r="698">
      <c r="A698" s="39"/>
      <c r="B698" s="51"/>
      <c r="C698" s="52"/>
      <c r="D698" s="53"/>
      <c r="E698" s="53"/>
    </row>
    <row r="699">
      <c r="A699" s="39"/>
      <c r="B699" s="51"/>
      <c r="C699" s="52"/>
      <c r="D699" s="53"/>
      <c r="E699" s="53"/>
    </row>
    <row r="700">
      <c r="A700" s="39"/>
      <c r="B700" s="51"/>
      <c r="C700" s="52"/>
      <c r="D700" s="53"/>
      <c r="E700" s="53"/>
    </row>
    <row r="701">
      <c r="A701" s="39"/>
      <c r="B701" s="51"/>
      <c r="C701" s="52"/>
      <c r="D701" s="53"/>
      <c r="E701" s="53"/>
    </row>
    <row r="702">
      <c r="A702" s="39"/>
      <c r="B702" s="51"/>
      <c r="C702" s="52"/>
      <c r="D702" s="53"/>
      <c r="E702" s="53"/>
    </row>
    <row r="703">
      <c r="A703" s="39"/>
      <c r="B703" s="51"/>
      <c r="C703" s="52"/>
      <c r="D703" s="53"/>
      <c r="E703" s="53"/>
    </row>
    <row r="704">
      <c r="A704" s="39"/>
      <c r="B704" s="51"/>
      <c r="C704" s="52"/>
      <c r="D704" s="53"/>
      <c r="E704" s="53"/>
    </row>
    <row r="705">
      <c r="A705" s="39"/>
      <c r="B705" s="51"/>
      <c r="C705" s="52"/>
      <c r="D705" s="53"/>
      <c r="E705" s="53"/>
    </row>
    <row r="706">
      <c r="A706" s="39"/>
      <c r="B706" s="51"/>
      <c r="C706" s="52"/>
      <c r="D706" s="53"/>
      <c r="E706" s="53"/>
    </row>
    <row r="707">
      <c r="A707" s="39"/>
      <c r="B707" s="51"/>
      <c r="C707" s="52"/>
      <c r="D707" s="53"/>
      <c r="E707" s="53"/>
    </row>
    <row r="708">
      <c r="A708" s="39"/>
      <c r="B708" s="51"/>
      <c r="C708" s="52"/>
      <c r="D708" s="53"/>
      <c r="E708" s="53"/>
    </row>
    <row r="709">
      <c r="A709" s="39"/>
      <c r="B709" s="51"/>
      <c r="C709" s="52"/>
      <c r="D709" s="53"/>
      <c r="E709" s="53"/>
    </row>
    <row r="710">
      <c r="A710" s="39"/>
      <c r="B710" s="51"/>
      <c r="C710" s="52"/>
      <c r="D710" s="53"/>
      <c r="E710" s="53"/>
    </row>
    <row r="711">
      <c r="A711" s="39"/>
      <c r="B711" s="51"/>
      <c r="C711" s="52"/>
      <c r="D711" s="53"/>
      <c r="E711" s="53"/>
    </row>
    <row r="712">
      <c r="A712" s="39"/>
      <c r="B712" s="51"/>
      <c r="C712" s="52"/>
      <c r="D712" s="53"/>
      <c r="E712" s="53"/>
    </row>
    <row r="713">
      <c r="A713" s="39"/>
      <c r="B713" s="51"/>
      <c r="C713" s="52"/>
      <c r="D713" s="53"/>
      <c r="E713" s="53"/>
    </row>
    <row r="714">
      <c r="A714" s="39"/>
      <c r="B714" s="51"/>
      <c r="C714" s="52"/>
      <c r="D714" s="53"/>
      <c r="E714" s="53"/>
    </row>
    <row r="715">
      <c r="A715" s="39"/>
      <c r="B715" s="51"/>
      <c r="C715" s="52"/>
      <c r="D715" s="53"/>
      <c r="E715" s="53"/>
    </row>
    <row r="716">
      <c r="A716" s="39"/>
      <c r="B716" s="51"/>
      <c r="C716" s="52"/>
      <c r="D716" s="53"/>
      <c r="E716" s="53"/>
    </row>
    <row r="717">
      <c r="A717" s="39"/>
      <c r="B717" s="51"/>
      <c r="C717" s="52"/>
      <c r="D717" s="53"/>
      <c r="E717" s="53"/>
    </row>
    <row r="718">
      <c r="A718" s="39"/>
      <c r="B718" s="51"/>
      <c r="C718" s="52"/>
      <c r="D718" s="53"/>
      <c r="E718" s="53"/>
    </row>
    <row r="719">
      <c r="A719" s="39"/>
      <c r="B719" s="51"/>
      <c r="C719" s="52"/>
      <c r="D719" s="53"/>
      <c r="E719" s="53"/>
    </row>
    <row r="720">
      <c r="A720" s="39"/>
      <c r="B720" s="51"/>
      <c r="C720" s="52"/>
      <c r="D720" s="53"/>
      <c r="E720" s="53"/>
    </row>
    <row r="721">
      <c r="A721" s="39"/>
      <c r="B721" s="51"/>
      <c r="C721" s="52"/>
      <c r="D721" s="53"/>
      <c r="E721" s="53"/>
    </row>
    <row r="722">
      <c r="A722" s="39"/>
      <c r="B722" s="51"/>
      <c r="C722" s="52"/>
      <c r="D722" s="53"/>
      <c r="E722" s="53"/>
    </row>
    <row r="723">
      <c r="A723" s="39"/>
      <c r="B723" s="51"/>
      <c r="C723" s="52"/>
      <c r="D723" s="53"/>
      <c r="E723" s="53"/>
    </row>
    <row r="724">
      <c r="A724" s="39"/>
      <c r="B724" s="51"/>
      <c r="C724" s="52"/>
      <c r="D724" s="53"/>
      <c r="E724" s="53"/>
    </row>
    <row r="725">
      <c r="A725" s="39"/>
      <c r="B725" s="51"/>
      <c r="C725" s="52"/>
      <c r="D725" s="53"/>
      <c r="E725" s="53"/>
    </row>
    <row r="726">
      <c r="A726" s="39"/>
      <c r="B726" s="51"/>
      <c r="C726" s="52"/>
      <c r="D726" s="53"/>
      <c r="E726" s="53"/>
    </row>
    <row r="727">
      <c r="A727" s="39"/>
      <c r="B727" s="51"/>
      <c r="C727" s="52"/>
      <c r="D727" s="53"/>
      <c r="E727" s="53"/>
    </row>
    <row r="728">
      <c r="A728" s="39"/>
      <c r="B728" s="51"/>
      <c r="C728" s="52"/>
      <c r="D728" s="53"/>
      <c r="E728" s="53"/>
    </row>
    <row r="729">
      <c r="A729" s="39"/>
      <c r="B729" s="51"/>
      <c r="C729" s="52"/>
      <c r="D729" s="53"/>
      <c r="E729" s="53"/>
    </row>
    <row r="730">
      <c r="A730" s="39"/>
      <c r="B730" s="51"/>
      <c r="C730" s="52"/>
      <c r="D730" s="53"/>
      <c r="E730" s="53"/>
    </row>
    <row r="731">
      <c r="A731" s="39"/>
      <c r="B731" s="51"/>
      <c r="C731" s="52"/>
      <c r="D731" s="53"/>
      <c r="E731" s="53"/>
    </row>
    <row r="732">
      <c r="A732" s="39"/>
      <c r="B732" s="51"/>
      <c r="C732" s="52"/>
      <c r="D732" s="53"/>
      <c r="E732" s="53"/>
    </row>
    <row r="733">
      <c r="A733" s="39"/>
      <c r="B733" s="51"/>
      <c r="C733" s="52"/>
      <c r="D733" s="53"/>
      <c r="E733" s="53"/>
    </row>
    <row r="734">
      <c r="A734" s="39"/>
      <c r="B734" s="51"/>
      <c r="C734" s="52"/>
      <c r="D734" s="53"/>
      <c r="E734" s="53"/>
    </row>
    <row r="735">
      <c r="A735" s="39"/>
      <c r="B735" s="51"/>
      <c r="C735" s="52"/>
      <c r="D735" s="53"/>
      <c r="E735" s="53"/>
    </row>
    <row r="736">
      <c r="A736" s="39"/>
      <c r="B736" s="51"/>
      <c r="C736" s="52"/>
      <c r="D736" s="53"/>
      <c r="E736" s="53"/>
    </row>
    <row r="737">
      <c r="A737" s="39"/>
      <c r="B737" s="51"/>
      <c r="C737" s="52"/>
      <c r="D737" s="53"/>
      <c r="E737" s="53"/>
    </row>
    <row r="738">
      <c r="A738" s="39"/>
      <c r="B738" s="51"/>
      <c r="C738" s="52"/>
      <c r="D738" s="53"/>
      <c r="E738" s="53"/>
    </row>
    <row r="739">
      <c r="A739" s="39"/>
      <c r="B739" s="51"/>
      <c r="C739" s="52"/>
      <c r="D739" s="53"/>
      <c r="E739" s="53"/>
    </row>
    <row r="740">
      <c r="A740" s="39"/>
      <c r="B740" s="51"/>
      <c r="C740" s="52"/>
      <c r="D740" s="53"/>
      <c r="E740" s="53"/>
    </row>
    <row r="741">
      <c r="A741" s="39"/>
      <c r="B741" s="51"/>
      <c r="C741" s="52"/>
      <c r="D741" s="53"/>
      <c r="E741" s="53"/>
    </row>
    <row r="742">
      <c r="A742" s="39"/>
      <c r="B742" s="51"/>
      <c r="C742" s="52"/>
      <c r="D742" s="53"/>
      <c r="E742" s="53"/>
    </row>
    <row r="743">
      <c r="A743" s="39"/>
      <c r="B743" s="51"/>
      <c r="C743" s="52"/>
      <c r="D743" s="53"/>
      <c r="E743" s="53"/>
    </row>
    <row r="744">
      <c r="A744" s="39"/>
      <c r="B744" s="51"/>
      <c r="C744" s="52"/>
      <c r="D744" s="53"/>
      <c r="E744" s="53"/>
    </row>
    <row r="745">
      <c r="A745" s="39"/>
      <c r="B745" s="51"/>
      <c r="C745" s="52"/>
      <c r="D745" s="53"/>
      <c r="E745" s="53"/>
    </row>
    <row r="746">
      <c r="A746" s="39"/>
      <c r="B746" s="51"/>
      <c r="C746" s="52"/>
      <c r="D746" s="53"/>
      <c r="E746" s="53"/>
    </row>
    <row r="747">
      <c r="A747" s="39"/>
      <c r="B747" s="51"/>
      <c r="C747" s="52"/>
      <c r="D747" s="53"/>
      <c r="E747" s="53"/>
    </row>
    <row r="748">
      <c r="A748" s="39"/>
      <c r="B748" s="51"/>
      <c r="C748" s="52"/>
      <c r="D748" s="53"/>
      <c r="E748" s="53"/>
    </row>
    <row r="749">
      <c r="A749" s="39"/>
      <c r="B749" s="51"/>
      <c r="C749" s="52"/>
      <c r="D749" s="53"/>
      <c r="E749" s="53"/>
    </row>
    <row r="750">
      <c r="A750" s="39"/>
      <c r="B750" s="51"/>
      <c r="C750" s="52"/>
      <c r="D750" s="53"/>
      <c r="E750" s="53"/>
    </row>
    <row r="751">
      <c r="A751" s="39"/>
      <c r="B751" s="51"/>
      <c r="C751" s="52"/>
      <c r="D751" s="53"/>
      <c r="E751" s="53"/>
    </row>
    <row r="752">
      <c r="A752" s="39"/>
      <c r="B752" s="51"/>
      <c r="C752" s="52"/>
      <c r="D752" s="53"/>
      <c r="E752" s="53"/>
    </row>
    <row r="753">
      <c r="A753" s="39"/>
      <c r="B753" s="51"/>
      <c r="C753" s="52"/>
      <c r="D753" s="53"/>
      <c r="E753" s="53"/>
    </row>
    <row r="754">
      <c r="A754" s="39"/>
      <c r="B754" s="51"/>
      <c r="C754" s="52"/>
      <c r="D754" s="53"/>
      <c r="E754" s="53"/>
    </row>
    <row r="755">
      <c r="A755" s="39"/>
      <c r="B755" s="51"/>
      <c r="C755" s="52"/>
      <c r="D755" s="53"/>
      <c r="E755" s="53"/>
    </row>
    <row r="756">
      <c r="A756" s="39"/>
      <c r="B756" s="51"/>
      <c r="C756" s="52"/>
      <c r="D756" s="53"/>
      <c r="E756" s="53"/>
    </row>
    <row r="757">
      <c r="A757" s="39"/>
      <c r="B757" s="51"/>
      <c r="C757" s="52"/>
      <c r="D757" s="53"/>
      <c r="E757" s="53"/>
    </row>
    <row r="758">
      <c r="A758" s="39"/>
      <c r="B758" s="51"/>
      <c r="C758" s="52"/>
      <c r="D758" s="53"/>
      <c r="E758" s="53"/>
    </row>
    <row r="759">
      <c r="A759" s="39"/>
      <c r="B759" s="51"/>
      <c r="C759" s="52"/>
      <c r="D759" s="53"/>
      <c r="E759" s="53"/>
    </row>
    <row r="760">
      <c r="A760" s="39"/>
      <c r="B760" s="51"/>
      <c r="C760" s="52"/>
      <c r="D760" s="53"/>
      <c r="E760" s="53"/>
    </row>
    <row r="761">
      <c r="A761" s="39"/>
      <c r="B761" s="51"/>
      <c r="C761" s="52"/>
      <c r="D761" s="53"/>
      <c r="E761" s="53"/>
    </row>
    <row r="762">
      <c r="A762" s="39"/>
      <c r="B762" s="51"/>
      <c r="C762" s="52"/>
      <c r="D762" s="53"/>
      <c r="E762" s="53"/>
    </row>
    <row r="763">
      <c r="A763" s="39"/>
      <c r="B763" s="51"/>
      <c r="C763" s="52"/>
      <c r="D763" s="53"/>
      <c r="E763" s="53"/>
    </row>
    <row r="764">
      <c r="A764" s="39"/>
      <c r="B764" s="51"/>
      <c r="C764" s="52"/>
      <c r="D764" s="53"/>
      <c r="E764" s="53"/>
    </row>
    <row r="765">
      <c r="A765" s="39"/>
      <c r="B765" s="51"/>
      <c r="C765" s="52"/>
      <c r="D765" s="53"/>
      <c r="E765" s="53"/>
    </row>
    <row r="766">
      <c r="A766" s="39"/>
      <c r="B766" s="51"/>
      <c r="C766" s="52"/>
      <c r="D766" s="53"/>
      <c r="E766" s="53"/>
    </row>
    <row r="767">
      <c r="A767" s="39"/>
      <c r="B767" s="51"/>
      <c r="C767" s="52"/>
      <c r="D767" s="53"/>
      <c r="E767" s="53"/>
    </row>
    <row r="768">
      <c r="A768" s="39"/>
      <c r="B768" s="51"/>
      <c r="C768" s="52"/>
      <c r="D768" s="53"/>
      <c r="E768" s="53"/>
    </row>
    <row r="769">
      <c r="A769" s="39"/>
      <c r="B769" s="51"/>
      <c r="C769" s="52"/>
      <c r="D769" s="53"/>
      <c r="E769" s="53"/>
    </row>
    <row r="770">
      <c r="A770" s="39"/>
      <c r="B770" s="51"/>
      <c r="C770" s="52"/>
      <c r="D770" s="53"/>
      <c r="E770" s="53"/>
    </row>
    <row r="771">
      <c r="A771" s="39"/>
      <c r="B771" s="51"/>
      <c r="C771" s="52"/>
      <c r="D771" s="53"/>
      <c r="E771" s="53"/>
    </row>
    <row r="772">
      <c r="A772" s="39"/>
      <c r="B772" s="51"/>
      <c r="C772" s="52"/>
      <c r="D772" s="53"/>
      <c r="E772" s="53"/>
    </row>
    <row r="773">
      <c r="A773" s="39"/>
      <c r="B773" s="51"/>
      <c r="C773" s="52"/>
      <c r="D773" s="53"/>
      <c r="E773" s="53"/>
    </row>
    <row r="774">
      <c r="A774" s="39"/>
      <c r="B774" s="51"/>
      <c r="C774" s="52"/>
      <c r="D774" s="53"/>
      <c r="E774" s="53"/>
    </row>
    <row r="775">
      <c r="A775" s="39"/>
      <c r="B775" s="51"/>
      <c r="C775" s="52"/>
      <c r="D775" s="53"/>
      <c r="E775" s="53"/>
    </row>
    <row r="776">
      <c r="A776" s="39"/>
      <c r="B776" s="51"/>
      <c r="C776" s="52"/>
      <c r="D776" s="53"/>
      <c r="E776" s="53"/>
    </row>
    <row r="777">
      <c r="A777" s="39"/>
      <c r="B777" s="51"/>
      <c r="C777" s="52"/>
      <c r="D777" s="53"/>
      <c r="E777" s="53"/>
    </row>
    <row r="778">
      <c r="A778" s="39"/>
      <c r="B778" s="51"/>
      <c r="C778" s="52"/>
      <c r="D778" s="53"/>
      <c r="E778" s="53"/>
    </row>
    <row r="779">
      <c r="A779" s="39"/>
      <c r="B779" s="51"/>
      <c r="C779" s="52"/>
      <c r="D779" s="53"/>
      <c r="E779" s="53"/>
    </row>
    <row r="780">
      <c r="A780" s="39"/>
      <c r="B780" s="51"/>
      <c r="C780" s="52"/>
      <c r="D780" s="53"/>
      <c r="E780" s="53"/>
    </row>
    <row r="781">
      <c r="A781" s="39"/>
      <c r="B781" s="51"/>
      <c r="C781" s="52"/>
      <c r="D781" s="53"/>
      <c r="E781" s="53"/>
    </row>
    <row r="782">
      <c r="A782" s="39"/>
      <c r="B782" s="51"/>
      <c r="C782" s="52"/>
      <c r="D782" s="53"/>
      <c r="E782" s="53"/>
    </row>
    <row r="783">
      <c r="A783" s="39"/>
      <c r="B783" s="51"/>
      <c r="C783" s="52"/>
      <c r="D783" s="53"/>
      <c r="E783" s="53"/>
    </row>
    <row r="784">
      <c r="A784" s="39"/>
      <c r="B784" s="51"/>
      <c r="C784" s="52"/>
      <c r="D784" s="53"/>
      <c r="E784" s="53"/>
    </row>
    <row r="785">
      <c r="A785" s="39"/>
      <c r="B785" s="51"/>
      <c r="C785" s="52"/>
      <c r="D785" s="53"/>
      <c r="E785" s="53"/>
    </row>
    <row r="786">
      <c r="A786" s="39"/>
      <c r="B786" s="51"/>
      <c r="C786" s="52"/>
      <c r="D786" s="53"/>
      <c r="E786" s="53"/>
    </row>
    <row r="787">
      <c r="A787" s="39"/>
      <c r="B787" s="51"/>
      <c r="C787" s="52"/>
      <c r="D787" s="53"/>
      <c r="E787" s="53"/>
    </row>
    <row r="788">
      <c r="A788" s="39"/>
      <c r="B788" s="51"/>
      <c r="C788" s="52"/>
      <c r="D788" s="53"/>
      <c r="E788" s="53"/>
    </row>
    <row r="789">
      <c r="A789" s="39"/>
      <c r="B789" s="51"/>
      <c r="C789" s="52"/>
      <c r="D789" s="53"/>
      <c r="E789" s="53"/>
    </row>
    <row r="790">
      <c r="A790" s="39"/>
      <c r="B790" s="51"/>
      <c r="C790" s="52"/>
      <c r="D790" s="53"/>
      <c r="E790" s="53"/>
    </row>
    <row r="791">
      <c r="A791" s="39"/>
      <c r="B791" s="51"/>
      <c r="C791" s="52"/>
      <c r="D791" s="53"/>
      <c r="E791" s="53"/>
    </row>
    <row r="792">
      <c r="A792" s="39"/>
      <c r="B792" s="51"/>
      <c r="C792" s="52"/>
      <c r="D792" s="53"/>
      <c r="E792" s="53"/>
    </row>
    <row r="793">
      <c r="A793" s="39"/>
      <c r="B793" s="51"/>
      <c r="C793" s="52"/>
      <c r="D793" s="53"/>
      <c r="E793" s="53"/>
    </row>
    <row r="794">
      <c r="A794" s="39"/>
      <c r="B794" s="51"/>
      <c r="C794" s="52"/>
      <c r="D794" s="53"/>
      <c r="E794" s="53"/>
    </row>
    <row r="795">
      <c r="A795" s="39"/>
      <c r="B795" s="51"/>
      <c r="C795" s="52"/>
      <c r="D795" s="53"/>
      <c r="E795" s="53"/>
    </row>
    <row r="796">
      <c r="A796" s="39"/>
      <c r="B796" s="51"/>
      <c r="C796" s="52"/>
      <c r="D796" s="53"/>
      <c r="E796" s="53"/>
    </row>
    <row r="797">
      <c r="A797" s="39"/>
      <c r="B797" s="51"/>
      <c r="C797" s="52"/>
      <c r="D797" s="53"/>
      <c r="E797" s="53"/>
    </row>
    <row r="798">
      <c r="A798" s="39"/>
      <c r="B798" s="51"/>
      <c r="C798" s="52"/>
      <c r="D798" s="53"/>
      <c r="E798" s="53"/>
    </row>
    <row r="799">
      <c r="A799" s="39"/>
      <c r="B799" s="51"/>
      <c r="C799" s="52"/>
      <c r="D799" s="53"/>
      <c r="E799" s="53"/>
    </row>
    <row r="800">
      <c r="A800" s="39"/>
      <c r="B800" s="51"/>
      <c r="C800" s="52"/>
      <c r="D800" s="53"/>
      <c r="E800" s="53"/>
    </row>
    <row r="801">
      <c r="A801" s="39"/>
      <c r="B801" s="51"/>
      <c r="C801" s="52"/>
      <c r="D801" s="53"/>
      <c r="E801" s="53"/>
    </row>
    <row r="802">
      <c r="A802" s="39"/>
      <c r="B802" s="51"/>
      <c r="C802" s="52"/>
      <c r="D802" s="53"/>
      <c r="E802" s="53"/>
    </row>
    <row r="803">
      <c r="A803" s="39"/>
      <c r="B803" s="51"/>
      <c r="C803" s="52"/>
      <c r="D803" s="53"/>
      <c r="E803" s="53"/>
    </row>
    <row r="804">
      <c r="A804" s="39"/>
      <c r="B804" s="51"/>
      <c r="C804" s="52"/>
      <c r="D804" s="53"/>
      <c r="E804" s="53"/>
    </row>
    <row r="805">
      <c r="A805" s="39"/>
      <c r="B805" s="51"/>
      <c r="C805" s="52"/>
      <c r="D805" s="53"/>
      <c r="E805" s="53"/>
    </row>
    <row r="806">
      <c r="A806" s="39"/>
      <c r="B806" s="51"/>
      <c r="C806" s="52"/>
      <c r="D806" s="53"/>
      <c r="E806" s="53"/>
    </row>
    <row r="807">
      <c r="A807" s="39"/>
      <c r="B807" s="51"/>
      <c r="C807" s="52"/>
      <c r="D807" s="53"/>
      <c r="E807" s="53"/>
    </row>
    <row r="808">
      <c r="A808" s="39"/>
      <c r="B808" s="51"/>
      <c r="C808" s="52"/>
      <c r="D808" s="53"/>
      <c r="E808" s="53"/>
    </row>
    <row r="809">
      <c r="A809" s="39"/>
      <c r="B809" s="51"/>
      <c r="C809" s="52"/>
      <c r="D809" s="53"/>
      <c r="E809" s="53"/>
    </row>
    <row r="810">
      <c r="A810" s="39"/>
      <c r="B810" s="51"/>
      <c r="C810" s="52"/>
      <c r="D810" s="53"/>
      <c r="E810" s="53"/>
    </row>
    <row r="811">
      <c r="A811" s="39"/>
      <c r="B811" s="51"/>
      <c r="C811" s="52"/>
      <c r="D811" s="53"/>
      <c r="E811" s="53"/>
    </row>
    <row r="812">
      <c r="A812" s="39"/>
      <c r="B812" s="51"/>
      <c r="C812" s="52"/>
      <c r="D812" s="53"/>
      <c r="E812" s="53"/>
    </row>
    <row r="813">
      <c r="A813" s="39"/>
      <c r="B813" s="51"/>
      <c r="C813" s="52"/>
      <c r="D813" s="53"/>
      <c r="E813" s="53"/>
    </row>
    <row r="814">
      <c r="A814" s="39"/>
      <c r="B814" s="51"/>
      <c r="C814" s="52"/>
      <c r="D814" s="53"/>
      <c r="E814" s="53"/>
    </row>
    <row r="815">
      <c r="A815" s="39"/>
      <c r="B815" s="51"/>
      <c r="C815" s="52"/>
      <c r="D815" s="53"/>
      <c r="E815" s="53"/>
    </row>
    <row r="816">
      <c r="A816" s="39"/>
      <c r="B816" s="51"/>
      <c r="C816" s="52"/>
      <c r="D816" s="53"/>
      <c r="E816" s="53"/>
    </row>
    <row r="817">
      <c r="A817" s="39"/>
      <c r="B817" s="51"/>
      <c r="C817" s="52"/>
      <c r="D817" s="53"/>
      <c r="E817" s="53"/>
    </row>
    <row r="818">
      <c r="A818" s="39"/>
      <c r="B818" s="51"/>
      <c r="C818" s="52"/>
      <c r="D818" s="53"/>
      <c r="E818" s="53"/>
    </row>
    <row r="819">
      <c r="A819" s="39"/>
      <c r="B819" s="51"/>
      <c r="C819" s="52"/>
      <c r="D819" s="53"/>
      <c r="E819" s="53"/>
    </row>
    <row r="820">
      <c r="A820" s="39"/>
      <c r="B820" s="51"/>
      <c r="C820" s="52"/>
      <c r="D820" s="53"/>
      <c r="E820" s="53"/>
    </row>
    <row r="821">
      <c r="A821" s="39"/>
      <c r="B821" s="51"/>
      <c r="C821" s="52"/>
      <c r="D821" s="53"/>
      <c r="E821" s="53"/>
    </row>
    <row r="822">
      <c r="A822" s="39"/>
      <c r="B822" s="51"/>
      <c r="C822" s="52"/>
      <c r="D822" s="53"/>
      <c r="E822" s="53"/>
    </row>
    <row r="823">
      <c r="A823" s="39"/>
      <c r="B823" s="51"/>
      <c r="C823" s="52"/>
      <c r="D823" s="53"/>
      <c r="E823" s="53"/>
    </row>
    <row r="824">
      <c r="A824" s="39"/>
      <c r="B824" s="51"/>
      <c r="C824" s="52"/>
      <c r="D824" s="53"/>
      <c r="E824" s="53"/>
    </row>
    <row r="825">
      <c r="A825" s="39"/>
      <c r="B825" s="51"/>
      <c r="C825" s="52"/>
      <c r="D825" s="53"/>
      <c r="E825" s="53"/>
    </row>
    <row r="826">
      <c r="A826" s="39"/>
      <c r="B826" s="51"/>
      <c r="C826" s="52"/>
      <c r="D826" s="53"/>
      <c r="E826" s="53"/>
    </row>
    <row r="827">
      <c r="A827" s="39"/>
      <c r="B827" s="51"/>
      <c r="C827" s="52"/>
      <c r="D827" s="53"/>
      <c r="E827" s="53"/>
    </row>
    <row r="828">
      <c r="A828" s="39"/>
      <c r="B828" s="51"/>
      <c r="C828" s="52"/>
      <c r="D828" s="53"/>
      <c r="E828" s="53"/>
    </row>
    <row r="829">
      <c r="A829" s="39"/>
      <c r="B829" s="51"/>
      <c r="C829" s="52"/>
      <c r="D829" s="53"/>
      <c r="E829" s="53"/>
    </row>
    <row r="830">
      <c r="A830" s="39"/>
      <c r="B830" s="51"/>
      <c r="C830" s="52"/>
      <c r="D830" s="53"/>
      <c r="E830" s="53"/>
    </row>
    <row r="831">
      <c r="A831" s="39"/>
      <c r="B831" s="51"/>
      <c r="C831" s="52"/>
      <c r="D831" s="53"/>
      <c r="E831" s="53"/>
    </row>
    <row r="832">
      <c r="A832" s="39"/>
      <c r="B832" s="51"/>
      <c r="C832" s="52"/>
      <c r="D832" s="53"/>
      <c r="E832" s="53"/>
    </row>
    <row r="833">
      <c r="A833" s="39"/>
      <c r="B833" s="51"/>
      <c r="C833" s="52"/>
      <c r="D833" s="53"/>
      <c r="E833" s="53"/>
    </row>
    <row r="834">
      <c r="A834" s="39"/>
      <c r="B834" s="51"/>
      <c r="C834" s="52"/>
      <c r="D834" s="53"/>
      <c r="E834" s="53"/>
    </row>
    <row r="835">
      <c r="A835" s="39"/>
      <c r="B835" s="51"/>
      <c r="C835" s="52"/>
      <c r="D835" s="53"/>
      <c r="E835" s="53"/>
    </row>
    <row r="836">
      <c r="A836" s="39"/>
      <c r="B836" s="51"/>
      <c r="C836" s="52"/>
      <c r="D836" s="53"/>
      <c r="E836" s="53"/>
    </row>
    <row r="837">
      <c r="A837" s="39"/>
      <c r="B837" s="51"/>
      <c r="C837" s="52"/>
      <c r="D837" s="53"/>
      <c r="E837" s="53"/>
    </row>
    <row r="838">
      <c r="A838" s="39"/>
      <c r="B838" s="51"/>
      <c r="C838" s="52"/>
      <c r="D838" s="53"/>
      <c r="E838" s="53"/>
    </row>
    <row r="839">
      <c r="A839" s="39"/>
      <c r="B839" s="51"/>
      <c r="C839" s="52"/>
      <c r="D839" s="53"/>
      <c r="E839" s="53"/>
    </row>
    <row r="840">
      <c r="A840" s="39"/>
      <c r="B840" s="51"/>
      <c r="C840" s="52"/>
      <c r="D840" s="53"/>
      <c r="E840" s="53"/>
    </row>
    <row r="841">
      <c r="A841" s="39"/>
      <c r="B841" s="51"/>
      <c r="C841" s="52"/>
      <c r="D841" s="53"/>
      <c r="E841" s="53"/>
    </row>
    <row r="842">
      <c r="A842" s="39"/>
      <c r="B842" s="51"/>
      <c r="C842" s="52"/>
      <c r="D842" s="53"/>
      <c r="E842" s="53"/>
    </row>
    <row r="843">
      <c r="A843" s="39"/>
      <c r="B843" s="51"/>
      <c r="C843" s="52"/>
      <c r="D843" s="53"/>
      <c r="E843" s="53"/>
    </row>
    <row r="844">
      <c r="A844" s="39"/>
      <c r="B844" s="51"/>
      <c r="C844" s="52"/>
      <c r="D844" s="53"/>
      <c r="E844" s="53"/>
    </row>
    <row r="845">
      <c r="A845" s="39"/>
      <c r="B845" s="51"/>
      <c r="C845" s="52"/>
      <c r="D845" s="53"/>
      <c r="E845" s="53"/>
    </row>
    <row r="846">
      <c r="A846" s="39"/>
      <c r="B846" s="51"/>
      <c r="C846" s="52"/>
      <c r="D846" s="53"/>
      <c r="E846" s="53"/>
    </row>
    <row r="847">
      <c r="A847" s="39"/>
      <c r="B847" s="51"/>
      <c r="C847" s="52"/>
      <c r="D847" s="53"/>
      <c r="E847" s="53"/>
    </row>
    <row r="848">
      <c r="A848" s="39"/>
      <c r="B848" s="51"/>
      <c r="C848" s="52"/>
      <c r="D848" s="53"/>
      <c r="E848" s="53"/>
    </row>
    <row r="849">
      <c r="A849" s="39"/>
      <c r="B849" s="51"/>
      <c r="C849" s="52"/>
      <c r="D849" s="53"/>
      <c r="E849" s="53"/>
    </row>
    <row r="850">
      <c r="A850" s="39"/>
      <c r="B850" s="51"/>
      <c r="C850" s="52"/>
      <c r="D850" s="53"/>
      <c r="E850" s="53"/>
    </row>
    <row r="851">
      <c r="A851" s="39"/>
      <c r="B851" s="51"/>
      <c r="C851" s="52"/>
      <c r="D851" s="53"/>
      <c r="E851" s="53"/>
    </row>
    <row r="852">
      <c r="A852" s="39"/>
      <c r="B852" s="51"/>
      <c r="C852" s="52"/>
      <c r="D852" s="53"/>
      <c r="E852" s="53"/>
    </row>
    <row r="853">
      <c r="A853" s="39"/>
      <c r="B853" s="51"/>
      <c r="C853" s="52"/>
      <c r="D853" s="53"/>
      <c r="E853" s="53"/>
    </row>
    <row r="854">
      <c r="A854" s="39"/>
      <c r="B854" s="51"/>
      <c r="C854" s="52"/>
      <c r="D854" s="53"/>
      <c r="E854" s="53"/>
    </row>
    <row r="855">
      <c r="A855" s="39"/>
      <c r="B855" s="51"/>
      <c r="C855" s="52"/>
      <c r="D855" s="53"/>
      <c r="E855" s="53"/>
    </row>
    <row r="856">
      <c r="A856" s="39"/>
      <c r="B856" s="51"/>
      <c r="C856" s="52"/>
      <c r="D856" s="53"/>
      <c r="E856" s="53"/>
    </row>
    <row r="857">
      <c r="A857" s="39"/>
      <c r="B857" s="51"/>
      <c r="C857" s="52"/>
      <c r="D857" s="53"/>
      <c r="E857" s="53"/>
    </row>
    <row r="858">
      <c r="A858" s="39"/>
      <c r="B858" s="51"/>
      <c r="C858" s="52"/>
      <c r="D858" s="53"/>
      <c r="E858" s="53"/>
    </row>
    <row r="859">
      <c r="A859" s="39"/>
      <c r="B859" s="51"/>
      <c r="C859" s="52"/>
      <c r="D859" s="53"/>
      <c r="E859" s="53"/>
    </row>
    <row r="860">
      <c r="A860" s="39"/>
      <c r="B860" s="51"/>
      <c r="C860" s="52"/>
      <c r="D860" s="53"/>
      <c r="E860" s="53"/>
    </row>
    <row r="861">
      <c r="A861" s="39"/>
      <c r="B861" s="51"/>
      <c r="C861" s="52"/>
      <c r="D861" s="53"/>
      <c r="E861" s="53"/>
    </row>
    <row r="862">
      <c r="A862" s="39"/>
      <c r="B862" s="51"/>
      <c r="C862" s="52"/>
      <c r="D862" s="53"/>
      <c r="E862" s="53"/>
    </row>
    <row r="863">
      <c r="A863" s="39"/>
      <c r="B863" s="51"/>
      <c r="C863" s="52"/>
      <c r="D863" s="53"/>
      <c r="E863" s="53"/>
    </row>
    <row r="864">
      <c r="A864" s="39"/>
      <c r="B864" s="51"/>
      <c r="C864" s="52"/>
      <c r="D864" s="53"/>
      <c r="E864" s="53"/>
    </row>
    <row r="865">
      <c r="A865" s="39"/>
      <c r="B865" s="51"/>
      <c r="C865" s="52"/>
      <c r="D865" s="53"/>
      <c r="E865" s="53"/>
    </row>
    <row r="866">
      <c r="A866" s="39"/>
      <c r="B866" s="51"/>
      <c r="C866" s="52"/>
      <c r="D866" s="53"/>
      <c r="E866" s="53"/>
    </row>
    <row r="867">
      <c r="A867" s="39"/>
      <c r="B867" s="51"/>
      <c r="C867" s="52"/>
      <c r="D867" s="53"/>
      <c r="E867" s="53"/>
    </row>
    <row r="868">
      <c r="A868" s="39"/>
      <c r="B868" s="51"/>
      <c r="C868" s="52"/>
      <c r="D868" s="53"/>
      <c r="E868" s="53"/>
    </row>
    <row r="869">
      <c r="A869" s="39"/>
      <c r="B869" s="51"/>
      <c r="C869" s="52"/>
      <c r="D869" s="53"/>
      <c r="E869" s="53"/>
    </row>
    <row r="870">
      <c r="A870" s="39"/>
      <c r="B870" s="51"/>
      <c r="C870" s="52"/>
      <c r="D870" s="53"/>
      <c r="E870" s="53"/>
    </row>
    <row r="871">
      <c r="A871" s="39"/>
      <c r="B871" s="51"/>
      <c r="C871" s="52"/>
      <c r="D871" s="53"/>
      <c r="E871" s="53"/>
    </row>
    <row r="872">
      <c r="A872" s="39"/>
      <c r="B872" s="51"/>
      <c r="C872" s="52"/>
      <c r="D872" s="53"/>
      <c r="E872" s="53"/>
    </row>
    <row r="873">
      <c r="A873" s="39"/>
      <c r="B873" s="51"/>
      <c r="C873" s="52"/>
      <c r="D873" s="53"/>
      <c r="E873" s="53"/>
    </row>
    <row r="874">
      <c r="A874" s="39"/>
      <c r="B874" s="51"/>
      <c r="C874" s="52"/>
      <c r="D874" s="53"/>
      <c r="E874" s="53"/>
    </row>
    <row r="875">
      <c r="A875" s="39"/>
      <c r="B875" s="51"/>
      <c r="C875" s="52"/>
      <c r="D875" s="53"/>
      <c r="E875" s="53"/>
    </row>
    <row r="876">
      <c r="A876" s="39"/>
      <c r="B876" s="51"/>
      <c r="C876" s="52"/>
      <c r="D876" s="53"/>
      <c r="E876" s="53"/>
    </row>
    <row r="877">
      <c r="A877" s="39"/>
      <c r="B877" s="51"/>
      <c r="C877" s="52"/>
      <c r="D877" s="53"/>
      <c r="E877" s="53"/>
    </row>
    <row r="878">
      <c r="A878" s="39"/>
      <c r="B878" s="51"/>
      <c r="C878" s="52"/>
      <c r="D878" s="53"/>
      <c r="E878" s="53"/>
    </row>
    <row r="879">
      <c r="A879" s="39"/>
      <c r="B879" s="51"/>
      <c r="C879" s="52"/>
      <c r="D879" s="53"/>
      <c r="E879" s="53"/>
    </row>
    <row r="880">
      <c r="A880" s="39"/>
      <c r="B880" s="51"/>
      <c r="C880" s="52"/>
      <c r="D880" s="53"/>
      <c r="E880" s="53"/>
    </row>
    <row r="881">
      <c r="A881" s="39"/>
      <c r="B881" s="51"/>
      <c r="C881" s="52"/>
      <c r="D881" s="53"/>
      <c r="E881" s="53"/>
    </row>
    <row r="882">
      <c r="A882" s="39"/>
      <c r="B882" s="51"/>
      <c r="C882" s="52"/>
      <c r="D882" s="53"/>
      <c r="E882" s="53"/>
    </row>
    <row r="883">
      <c r="A883" s="39"/>
      <c r="B883" s="51"/>
      <c r="C883" s="52"/>
      <c r="D883" s="53"/>
      <c r="E883" s="53"/>
    </row>
    <row r="884">
      <c r="A884" s="39"/>
      <c r="B884" s="51"/>
      <c r="C884" s="52"/>
      <c r="D884" s="53"/>
      <c r="E884" s="53"/>
    </row>
    <row r="885">
      <c r="A885" s="39"/>
      <c r="B885" s="51"/>
      <c r="C885" s="52"/>
      <c r="D885" s="53"/>
      <c r="E885" s="53"/>
    </row>
    <row r="886">
      <c r="A886" s="39"/>
      <c r="B886" s="51"/>
      <c r="C886" s="52"/>
      <c r="D886" s="53"/>
      <c r="E886" s="53"/>
    </row>
    <row r="887">
      <c r="A887" s="39"/>
      <c r="B887" s="51"/>
      <c r="C887" s="52"/>
      <c r="D887" s="53"/>
      <c r="E887" s="53"/>
    </row>
    <row r="888">
      <c r="A888" s="39"/>
      <c r="B888" s="51"/>
      <c r="C888" s="52"/>
      <c r="D888" s="53"/>
      <c r="E888" s="53"/>
    </row>
    <row r="889">
      <c r="A889" s="39"/>
      <c r="B889" s="51"/>
      <c r="C889" s="52"/>
      <c r="D889" s="53"/>
      <c r="E889" s="53"/>
    </row>
    <row r="890">
      <c r="A890" s="39"/>
      <c r="B890" s="51"/>
      <c r="C890" s="52"/>
      <c r="D890" s="53"/>
      <c r="E890" s="53"/>
    </row>
    <row r="891">
      <c r="A891" s="39"/>
      <c r="B891" s="51"/>
      <c r="C891" s="52"/>
      <c r="D891" s="53"/>
      <c r="E891" s="53"/>
    </row>
    <row r="892">
      <c r="A892" s="39"/>
      <c r="B892" s="51"/>
      <c r="C892" s="52"/>
      <c r="D892" s="53"/>
      <c r="E892" s="53"/>
    </row>
    <row r="893">
      <c r="A893" s="39"/>
      <c r="B893" s="51"/>
      <c r="C893" s="52"/>
      <c r="D893" s="53"/>
      <c r="E893" s="53"/>
    </row>
    <row r="894">
      <c r="A894" s="39"/>
      <c r="B894" s="51"/>
      <c r="C894" s="52"/>
      <c r="D894" s="53"/>
      <c r="E894" s="53"/>
    </row>
    <row r="895">
      <c r="A895" s="39"/>
      <c r="B895" s="51"/>
      <c r="C895" s="52"/>
      <c r="D895" s="53"/>
      <c r="E895" s="53"/>
    </row>
    <row r="896">
      <c r="A896" s="39"/>
      <c r="B896" s="51"/>
      <c r="C896" s="52"/>
      <c r="D896" s="53"/>
      <c r="E896" s="53"/>
    </row>
    <row r="897">
      <c r="A897" s="39"/>
      <c r="B897" s="51"/>
      <c r="C897" s="52"/>
      <c r="D897" s="53"/>
      <c r="E897" s="53"/>
    </row>
    <row r="898">
      <c r="A898" s="39"/>
      <c r="B898" s="51"/>
      <c r="C898" s="52"/>
      <c r="D898" s="53"/>
      <c r="E898" s="53"/>
    </row>
    <row r="899">
      <c r="A899" s="39"/>
      <c r="B899" s="51"/>
      <c r="C899" s="52"/>
      <c r="D899" s="53"/>
      <c r="E899" s="53"/>
    </row>
    <row r="900">
      <c r="A900" s="39"/>
      <c r="B900" s="51"/>
      <c r="C900" s="52"/>
      <c r="D900" s="53"/>
      <c r="E900" s="53"/>
    </row>
    <row r="901">
      <c r="A901" s="39"/>
      <c r="B901" s="51"/>
      <c r="C901" s="52"/>
      <c r="D901" s="53"/>
      <c r="E901" s="53"/>
    </row>
    <row r="902">
      <c r="A902" s="39"/>
      <c r="B902" s="51"/>
      <c r="C902" s="52"/>
      <c r="D902" s="53"/>
      <c r="E902" s="53"/>
    </row>
    <row r="903">
      <c r="A903" s="39"/>
      <c r="B903" s="51"/>
      <c r="C903" s="52"/>
      <c r="D903" s="53"/>
      <c r="E903" s="53"/>
    </row>
    <row r="904">
      <c r="A904" s="39"/>
      <c r="B904" s="51"/>
      <c r="C904" s="52"/>
      <c r="D904" s="53"/>
      <c r="E904" s="53"/>
    </row>
    <row r="905">
      <c r="A905" s="39"/>
      <c r="B905" s="51"/>
      <c r="C905" s="52"/>
      <c r="D905" s="53"/>
      <c r="E905" s="53"/>
    </row>
    <row r="906">
      <c r="A906" s="39"/>
      <c r="B906" s="51"/>
      <c r="C906" s="52"/>
      <c r="D906" s="53"/>
      <c r="E906" s="53"/>
    </row>
    <row r="907">
      <c r="A907" s="39"/>
      <c r="B907" s="51"/>
      <c r="C907" s="52"/>
      <c r="D907" s="53"/>
      <c r="E907" s="53"/>
    </row>
    <row r="908">
      <c r="A908" s="39"/>
      <c r="B908" s="51"/>
      <c r="C908" s="52"/>
      <c r="D908" s="53"/>
      <c r="E908" s="53"/>
    </row>
    <row r="909">
      <c r="A909" s="39"/>
      <c r="B909" s="51"/>
      <c r="C909" s="52"/>
      <c r="D909" s="53"/>
      <c r="E909" s="53"/>
    </row>
    <row r="910">
      <c r="A910" s="39"/>
      <c r="B910" s="51"/>
      <c r="C910" s="52"/>
      <c r="D910" s="53"/>
      <c r="E910" s="53"/>
    </row>
    <row r="911">
      <c r="A911" s="39"/>
      <c r="B911" s="51"/>
      <c r="C911" s="52"/>
      <c r="D911" s="53"/>
      <c r="E911" s="53"/>
    </row>
    <row r="912">
      <c r="A912" s="39"/>
      <c r="B912" s="51"/>
      <c r="C912" s="52"/>
      <c r="D912" s="53"/>
      <c r="E912" s="53"/>
    </row>
    <row r="913">
      <c r="A913" s="39"/>
      <c r="B913" s="51"/>
      <c r="C913" s="52"/>
      <c r="D913" s="53"/>
      <c r="E913" s="53"/>
    </row>
    <row r="914">
      <c r="A914" s="39"/>
      <c r="B914" s="51"/>
      <c r="C914" s="52"/>
      <c r="D914" s="53"/>
      <c r="E914" s="53"/>
    </row>
    <row r="915">
      <c r="A915" s="39"/>
      <c r="B915" s="51"/>
      <c r="C915" s="52"/>
      <c r="D915" s="53"/>
      <c r="E915" s="53"/>
    </row>
    <row r="916">
      <c r="A916" s="39"/>
      <c r="B916" s="51"/>
      <c r="C916" s="52"/>
      <c r="D916" s="53"/>
      <c r="E916" s="53"/>
    </row>
    <row r="917">
      <c r="A917" s="39"/>
      <c r="B917" s="51"/>
      <c r="C917" s="52"/>
      <c r="D917" s="53"/>
      <c r="E917" s="53"/>
    </row>
    <row r="918">
      <c r="A918" s="39"/>
      <c r="B918" s="51"/>
      <c r="C918" s="52"/>
      <c r="D918" s="53"/>
      <c r="E918" s="53"/>
    </row>
    <row r="919">
      <c r="A919" s="39"/>
      <c r="B919" s="51"/>
      <c r="C919" s="52"/>
      <c r="D919" s="53"/>
      <c r="E919" s="53"/>
    </row>
    <row r="920">
      <c r="A920" s="39"/>
      <c r="B920" s="51"/>
      <c r="C920" s="52"/>
      <c r="D920" s="53"/>
      <c r="E920" s="53"/>
    </row>
    <row r="921">
      <c r="A921" s="39"/>
      <c r="B921" s="51"/>
      <c r="C921" s="52"/>
      <c r="D921" s="53"/>
      <c r="E921" s="53"/>
    </row>
    <row r="922">
      <c r="A922" s="39"/>
      <c r="B922" s="51"/>
      <c r="C922" s="52"/>
      <c r="D922" s="53"/>
      <c r="E922" s="53"/>
    </row>
    <row r="923">
      <c r="A923" s="39"/>
      <c r="B923" s="51"/>
      <c r="C923" s="52"/>
      <c r="D923" s="53"/>
      <c r="E923" s="53"/>
    </row>
    <row r="924">
      <c r="A924" s="39"/>
      <c r="B924" s="51"/>
      <c r="C924" s="52"/>
      <c r="D924" s="53"/>
      <c r="E924" s="53"/>
    </row>
    <row r="925">
      <c r="A925" s="39"/>
      <c r="B925" s="51"/>
      <c r="C925" s="52"/>
      <c r="D925" s="53"/>
      <c r="E925" s="53"/>
    </row>
    <row r="926">
      <c r="A926" s="39"/>
      <c r="B926" s="51"/>
      <c r="C926" s="52"/>
      <c r="D926" s="53"/>
      <c r="E926" s="53"/>
    </row>
    <row r="927">
      <c r="A927" s="39"/>
      <c r="B927" s="51"/>
      <c r="C927" s="52"/>
      <c r="D927" s="53"/>
      <c r="E927" s="53"/>
    </row>
    <row r="928">
      <c r="A928" s="39"/>
      <c r="B928" s="51"/>
      <c r="C928" s="52"/>
      <c r="D928" s="53"/>
      <c r="E928" s="53"/>
    </row>
    <row r="929">
      <c r="A929" s="39"/>
      <c r="B929" s="51"/>
      <c r="C929" s="52"/>
      <c r="D929" s="53"/>
      <c r="E929" s="53"/>
    </row>
    <row r="930">
      <c r="A930" s="39"/>
      <c r="B930" s="51"/>
      <c r="C930" s="52"/>
      <c r="D930" s="53"/>
      <c r="E930" s="53"/>
    </row>
    <row r="931">
      <c r="A931" s="39"/>
      <c r="B931" s="51"/>
      <c r="C931" s="52"/>
      <c r="D931" s="53"/>
      <c r="E931" s="53"/>
    </row>
    <row r="932">
      <c r="A932" s="39"/>
      <c r="B932" s="51"/>
      <c r="C932" s="52"/>
      <c r="D932" s="53"/>
      <c r="E932" s="53"/>
    </row>
    <row r="933">
      <c r="A933" s="39"/>
      <c r="B933" s="51"/>
      <c r="C933" s="52"/>
      <c r="D933" s="53"/>
      <c r="E933" s="53"/>
    </row>
    <row r="934">
      <c r="A934" s="39"/>
      <c r="B934" s="51"/>
      <c r="C934" s="52"/>
      <c r="D934" s="53"/>
      <c r="E934" s="53"/>
    </row>
    <row r="935">
      <c r="A935" s="39"/>
      <c r="B935" s="51"/>
      <c r="C935" s="52"/>
      <c r="D935" s="53"/>
      <c r="E935" s="53"/>
    </row>
    <row r="936">
      <c r="A936" s="39"/>
      <c r="B936" s="51"/>
      <c r="C936" s="52"/>
      <c r="D936" s="53"/>
      <c r="E936" s="53"/>
    </row>
    <row r="937">
      <c r="A937" s="39"/>
      <c r="B937" s="51"/>
      <c r="C937" s="52"/>
      <c r="D937" s="53"/>
      <c r="E937" s="53"/>
    </row>
    <row r="938">
      <c r="A938" s="39"/>
      <c r="B938" s="51"/>
      <c r="C938" s="52"/>
      <c r="D938" s="53"/>
      <c r="E938" s="53"/>
    </row>
    <row r="939">
      <c r="A939" s="39"/>
      <c r="B939" s="51"/>
      <c r="C939" s="52"/>
      <c r="D939" s="53"/>
      <c r="E939" s="53"/>
    </row>
    <row r="940">
      <c r="A940" s="39"/>
      <c r="B940" s="51"/>
      <c r="C940" s="52"/>
      <c r="D940" s="53"/>
      <c r="E940" s="53"/>
    </row>
    <row r="941">
      <c r="A941" s="39"/>
      <c r="B941" s="51"/>
      <c r="C941" s="52"/>
      <c r="D941" s="53"/>
      <c r="E941" s="53"/>
    </row>
    <row r="942">
      <c r="A942" s="39"/>
      <c r="B942" s="51"/>
      <c r="C942" s="52"/>
      <c r="D942" s="53"/>
      <c r="E942" s="53"/>
    </row>
    <row r="943">
      <c r="A943" s="39"/>
      <c r="B943" s="51"/>
      <c r="C943" s="52"/>
      <c r="D943" s="53"/>
      <c r="E943" s="53"/>
    </row>
    <row r="944">
      <c r="A944" s="39"/>
      <c r="B944" s="51"/>
      <c r="C944" s="52"/>
      <c r="D944" s="53"/>
      <c r="E944" s="53"/>
    </row>
    <row r="945">
      <c r="A945" s="39"/>
      <c r="B945" s="51"/>
      <c r="C945" s="52"/>
      <c r="D945" s="53"/>
      <c r="E945" s="53"/>
    </row>
    <row r="946">
      <c r="A946" s="39"/>
      <c r="B946" s="51"/>
      <c r="C946" s="52"/>
      <c r="D946" s="53"/>
      <c r="E946" s="53"/>
    </row>
    <row r="947">
      <c r="A947" s="39"/>
      <c r="B947" s="51"/>
      <c r="C947" s="52"/>
      <c r="D947" s="53"/>
      <c r="E947" s="53"/>
    </row>
    <row r="948">
      <c r="A948" s="39"/>
      <c r="B948" s="51"/>
      <c r="C948" s="52"/>
      <c r="D948" s="53"/>
      <c r="E948" s="53"/>
    </row>
    <row r="949">
      <c r="A949" s="39"/>
      <c r="B949" s="51"/>
      <c r="C949" s="52"/>
      <c r="D949" s="53"/>
      <c r="E949" s="53"/>
    </row>
    <row r="950">
      <c r="A950" s="39"/>
      <c r="B950" s="51"/>
      <c r="C950" s="52"/>
      <c r="D950" s="53"/>
      <c r="E950" s="53"/>
    </row>
    <row r="951">
      <c r="A951" s="39"/>
      <c r="B951" s="51"/>
      <c r="C951" s="52"/>
      <c r="D951" s="53"/>
      <c r="E951" s="53"/>
    </row>
    <row r="952">
      <c r="A952" s="39"/>
      <c r="B952" s="51"/>
      <c r="C952" s="52"/>
      <c r="D952" s="53"/>
      <c r="E952" s="53"/>
    </row>
    <row r="953">
      <c r="A953" s="39"/>
      <c r="B953" s="51"/>
      <c r="C953" s="52"/>
      <c r="D953" s="53"/>
      <c r="E953" s="53"/>
    </row>
    <row r="954">
      <c r="A954" s="39"/>
      <c r="B954" s="51"/>
      <c r="C954" s="52"/>
      <c r="D954" s="53"/>
      <c r="E954" s="53"/>
    </row>
    <row r="955">
      <c r="A955" s="39"/>
      <c r="B955" s="51"/>
      <c r="C955" s="52"/>
      <c r="D955" s="53"/>
      <c r="E955" s="53"/>
    </row>
    <row r="956">
      <c r="A956" s="39"/>
      <c r="B956" s="51"/>
      <c r="C956" s="52"/>
      <c r="D956" s="53"/>
      <c r="E956" s="53"/>
    </row>
    <row r="957">
      <c r="A957" s="39"/>
      <c r="B957" s="51"/>
      <c r="C957" s="52"/>
      <c r="D957" s="53"/>
      <c r="E957" s="53"/>
    </row>
    <row r="958">
      <c r="A958" s="39"/>
      <c r="B958" s="51"/>
      <c r="C958" s="52"/>
      <c r="D958" s="53"/>
      <c r="E958" s="53"/>
    </row>
    <row r="959">
      <c r="A959" s="39"/>
      <c r="B959" s="51"/>
      <c r="C959" s="52"/>
      <c r="D959" s="53"/>
      <c r="E959" s="53"/>
    </row>
    <row r="960">
      <c r="A960" s="39"/>
      <c r="B960" s="51"/>
      <c r="C960" s="52"/>
      <c r="D960" s="53"/>
      <c r="E960" s="53"/>
    </row>
    <row r="961">
      <c r="A961" s="39"/>
      <c r="B961" s="51"/>
      <c r="C961" s="52"/>
      <c r="D961" s="53"/>
      <c r="E961" s="53"/>
    </row>
    <row r="962">
      <c r="A962" s="39"/>
      <c r="B962" s="51"/>
      <c r="C962" s="52"/>
      <c r="D962" s="53"/>
      <c r="E962" s="53"/>
    </row>
    <row r="963">
      <c r="A963" s="39"/>
      <c r="B963" s="51"/>
      <c r="C963" s="52"/>
      <c r="D963" s="53"/>
      <c r="E963" s="53"/>
    </row>
    <row r="964">
      <c r="A964" s="39"/>
      <c r="B964" s="51"/>
      <c r="C964" s="52"/>
      <c r="D964" s="53"/>
      <c r="E964" s="53"/>
    </row>
    <row r="965">
      <c r="A965" s="39"/>
      <c r="B965" s="51"/>
      <c r="C965" s="52"/>
      <c r="D965" s="53"/>
      <c r="E965" s="53"/>
    </row>
    <row r="966">
      <c r="A966" s="39"/>
      <c r="B966" s="51"/>
      <c r="C966" s="52"/>
      <c r="D966" s="53"/>
      <c r="E966" s="53"/>
    </row>
    <row r="967">
      <c r="A967" s="39"/>
      <c r="B967" s="51"/>
      <c r="C967" s="52"/>
      <c r="D967" s="53"/>
      <c r="E967" s="53"/>
    </row>
    <row r="968">
      <c r="A968" s="39"/>
      <c r="B968" s="51"/>
      <c r="C968" s="52"/>
      <c r="D968" s="53"/>
      <c r="E968" s="53"/>
    </row>
    <row r="969">
      <c r="A969" s="39"/>
      <c r="B969" s="51"/>
      <c r="C969" s="52"/>
      <c r="D969" s="53"/>
      <c r="E969" s="53"/>
    </row>
    <row r="970">
      <c r="A970" s="39"/>
      <c r="B970" s="51"/>
      <c r="C970" s="52"/>
      <c r="D970" s="53"/>
      <c r="E970" s="53"/>
    </row>
    <row r="971">
      <c r="A971" s="39"/>
      <c r="B971" s="51"/>
      <c r="C971" s="52"/>
      <c r="D971" s="53"/>
      <c r="E971" s="53"/>
    </row>
    <row r="972">
      <c r="A972" s="39"/>
      <c r="B972" s="51"/>
      <c r="C972" s="52"/>
      <c r="D972" s="53"/>
      <c r="E972" s="53"/>
    </row>
    <row r="973">
      <c r="A973" s="39"/>
      <c r="B973" s="51"/>
      <c r="C973" s="52"/>
      <c r="D973" s="53"/>
      <c r="E973" s="53"/>
    </row>
    <row r="974">
      <c r="A974" s="39"/>
      <c r="B974" s="51"/>
      <c r="C974" s="52"/>
      <c r="D974" s="53"/>
      <c r="E974" s="53"/>
    </row>
    <row r="975">
      <c r="A975" s="39"/>
      <c r="B975" s="51"/>
      <c r="C975" s="52"/>
      <c r="D975" s="53"/>
      <c r="E975" s="53"/>
    </row>
    <row r="976">
      <c r="A976" s="39"/>
      <c r="B976" s="51"/>
      <c r="C976" s="52"/>
      <c r="D976" s="53"/>
      <c r="E976" s="53"/>
    </row>
    <row r="977">
      <c r="A977" s="39"/>
      <c r="B977" s="51"/>
      <c r="C977" s="52"/>
      <c r="D977" s="53"/>
      <c r="E977" s="53"/>
    </row>
    <row r="978">
      <c r="A978" s="39"/>
      <c r="B978" s="51"/>
      <c r="C978" s="52"/>
      <c r="D978" s="53"/>
      <c r="E978" s="53"/>
    </row>
    <row r="979">
      <c r="A979" s="39"/>
      <c r="B979" s="51"/>
      <c r="C979" s="52"/>
      <c r="D979" s="53"/>
      <c r="E979" s="53"/>
    </row>
    <row r="980">
      <c r="A980" s="39"/>
      <c r="B980" s="51"/>
      <c r="C980" s="52"/>
      <c r="D980" s="53"/>
      <c r="E980" s="53"/>
    </row>
    <row r="981">
      <c r="A981" s="39"/>
      <c r="B981" s="51"/>
      <c r="C981" s="52"/>
      <c r="D981" s="53"/>
      <c r="E981" s="53"/>
    </row>
    <row r="982">
      <c r="A982" s="39"/>
      <c r="B982" s="51"/>
      <c r="C982" s="52"/>
      <c r="D982" s="53"/>
      <c r="E982" s="53"/>
    </row>
    <row r="983">
      <c r="A983" s="39"/>
      <c r="B983" s="51"/>
      <c r="C983" s="52"/>
      <c r="D983" s="53"/>
      <c r="E983" s="53"/>
    </row>
    <row r="984">
      <c r="A984" s="39"/>
      <c r="B984" s="51"/>
      <c r="C984" s="52"/>
      <c r="D984" s="53"/>
      <c r="E984" s="53"/>
    </row>
    <row r="985">
      <c r="A985" s="39"/>
      <c r="B985" s="51"/>
      <c r="C985" s="52"/>
      <c r="D985" s="53"/>
      <c r="E985" s="53"/>
    </row>
    <row r="986">
      <c r="A986" s="39"/>
      <c r="B986" s="51"/>
      <c r="C986" s="52"/>
      <c r="D986" s="53"/>
      <c r="E986" s="53"/>
    </row>
    <row r="987">
      <c r="A987" s="39"/>
      <c r="B987" s="51"/>
      <c r="C987" s="52"/>
      <c r="D987" s="53"/>
      <c r="E987" s="53"/>
    </row>
    <row r="988">
      <c r="A988" s="39"/>
      <c r="B988" s="51"/>
      <c r="C988" s="52"/>
      <c r="D988" s="53"/>
      <c r="E988" s="53"/>
    </row>
    <row r="989">
      <c r="A989" s="39"/>
      <c r="B989" s="51"/>
      <c r="C989" s="52"/>
      <c r="D989" s="53"/>
      <c r="E989" s="53"/>
    </row>
    <row r="990">
      <c r="A990" s="39"/>
      <c r="B990" s="51"/>
      <c r="C990" s="52"/>
      <c r="D990" s="53"/>
      <c r="E990" s="53"/>
    </row>
    <row r="991">
      <c r="A991" s="39"/>
      <c r="B991" s="51"/>
      <c r="C991" s="52"/>
      <c r="D991" s="53"/>
      <c r="E991" s="53"/>
    </row>
    <row r="992">
      <c r="A992" s="39"/>
      <c r="B992" s="51"/>
      <c r="C992" s="52"/>
      <c r="D992" s="53"/>
      <c r="E992" s="53"/>
    </row>
    <row r="993">
      <c r="A993" s="39"/>
      <c r="B993" s="51"/>
      <c r="C993" s="52"/>
      <c r="D993" s="53"/>
      <c r="E993" s="53"/>
    </row>
    <row r="994">
      <c r="A994" s="39"/>
      <c r="B994" s="51"/>
      <c r="C994" s="52"/>
      <c r="D994" s="53"/>
      <c r="E994" s="53"/>
    </row>
    <row r="995">
      <c r="A995" s="39"/>
      <c r="B995" s="51"/>
      <c r="C995" s="52"/>
      <c r="D995" s="53"/>
      <c r="E995" s="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2" max="2" width="40.88"/>
  </cols>
  <sheetData>
    <row r="1">
      <c r="A1" s="5" t="s">
        <v>316</v>
      </c>
      <c r="B1" s="5" t="s">
        <v>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317</v>
      </c>
      <c r="B1" s="55" t="s">
        <v>318</v>
      </c>
      <c r="C1" s="56" t="s">
        <v>319</v>
      </c>
      <c r="D1" s="55" t="s">
        <v>36</v>
      </c>
      <c r="E1" s="55" t="s">
        <v>27</v>
      </c>
    </row>
    <row r="2">
      <c r="A2" s="57"/>
      <c r="B2" s="58"/>
      <c r="C2" s="59"/>
      <c r="D2" s="60"/>
      <c r="E2" s="58"/>
    </row>
    <row r="3">
      <c r="A3" s="57"/>
      <c r="B3" s="58"/>
      <c r="D3" s="59"/>
      <c r="E3" s="58"/>
    </row>
    <row r="4">
      <c r="A4" s="57"/>
      <c r="B4" s="58"/>
      <c r="D4" s="59"/>
      <c r="E4" s="58"/>
    </row>
    <row r="5">
      <c r="A5" s="57"/>
      <c r="B5" s="58"/>
      <c r="C5" s="59"/>
      <c r="D5" s="60"/>
      <c r="E5" s="58"/>
    </row>
    <row r="6">
      <c r="A6" s="57"/>
      <c r="B6" s="58"/>
      <c r="D6" s="59"/>
      <c r="E6" s="58"/>
    </row>
    <row r="7">
      <c r="A7" s="57"/>
      <c r="B7" s="58"/>
      <c r="C7" s="59"/>
      <c r="D7" s="60"/>
      <c r="E7" s="58"/>
    </row>
    <row r="8">
      <c r="A8" s="57"/>
      <c r="B8" s="58"/>
      <c r="C8" s="59"/>
      <c r="D8" s="60"/>
      <c r="E8" s="58"/>
    </row>
    <row r="9">
      <c r="A9" s="57"/>
      <c r="B9" s="58"/>
      <c r="D9" s="59"/>
      <c r="E9" s="58"/>
    </row>
    <row r="10">
      <c r="A10" s="57"/>
      <c r="B10" s="58"/>
      <c r="C10" s="59"/>
      <c r="D10" s="60"/>
      <c r="E10" s="58"/>
    </row>
    <row r="11">
      <c r="A11" s="57"/>
      <c r="B11" s="58"/>
      <c r="C11" s="59"/>
      <c r="D11" s="60"/>
      <c r="E11" s="58"/>
    </row>
    <row r="12">
      <c r="A12" s="57"/>
      <c r="B12" s="58"/>
      <c r="C12" s="59"/>
      <c r="D12" s="60"/>
      <c r="E12" s="58"/>
    </row>
    <row r="13">
      <c r="A13" s="57"/>
      <c r="B13" s="58"/>
      <c r="C13" s="59"/>
      <c r="D13" s="60"/>
      <c r="E13" s="58"/>
    </row>
    <row r="14">
      <c r="A14" s="57"/>
      <c r="B14" s="58"/>
      <c r="C14" s="59"/>
      <c r="D14" s="60"/>
      <c r="E14" s="58"/>
    </row>
    <row r="15">
      <c r="A15" s="57"/>
      <c r="B15" s="58"/>
      <c r="C15" s="59"/>
      <c r="D15" s="60"/>
      <c r="E15" s="58"/>
    </row>
    <row r="16">
      <c r="A16" s="57"/>
      <c r="B16" s="58"/>
      <c r="C16" s="59"/>
      <c r="D16" s="60"/>
      <c r="E16" s="58"/>
    </row>
    <row r="17">
      <c r="A17" s="57"/>
      <c r="B17" s="58"/>
      <c r="D17" s="59"/>
      <c r="E17" s="58"/>
    </row>
    <row r="18">
      <c r="A18" s="57"/>
      <c r="B18" s="58"/>
      <c r="D18" s="59"/>
      <c r="E18" s="58"/>
    </row>
    <row r="19">
      <c r="A19" s="57"/>
      <c r="B19" s="58"/>
      <c r="D19" s="59"/>
      <c r="E19" s="58"/>
    </row>
    <row r="20">
      <c r="A20" s="57"/>
      <c r="B20" s="58"/>
      <c r="C20" s="59"/>
      <c r="D20" s="60"/>
      <c r="E20" s="58"/>
    </row>
    <row r="21">
      <c r="A21" s="57"/>
      <c r="B21" s="58"/>
      <c r="C21" s="59"/>
      <c r="D21" s="60"/>
      <c r="E21" s="58"/>
    </row>
    <row r="22">
      <c r="A22" s="57"/>
      <c r="B22" s="58"/>
      <c r="C22" s="59"/>
      <c r="D22" s="60"/>
      <c r="E22" s="58"/>
    </row>
    <row r="23">
      <c r="A23" s="57"/>
      <c r="B23" s="58"/>
      <c r="C23" s="59"/>
      <c r="D23" s="60"/>
      <c r="E23" s="58"/>
    </row>
    <row r="24">
      <c r="A24" s="57"/>
      <c r="B24" s="58"/>
      <c r="C24" s="59"/>
      <c r="D24" s="60"/>
      <c r="E24" s="58"/>
    </row>
    <row r="25">
      <c r="A25" s="57"/>
      <c r="B25" s="58"/>
      <c r="D25" s="59"/>
      <c r="E25" s="58"/>
    </row>
    <row r="26">
      <c r="A26" s="57"/>
      <c r="B26" s="58"/>
      <c r="C26" s="59"/>
      <c r="D26" s="60"/>
      <c r="E26" s="58"/>
    </row>
    <row r="27">
      <c r="A27" s="57"/>
      <c r="B27" s="58"/>
      <c r="C27" s="59"/>
      <c r="D27" s="60"/>
      <c r="E27" s="58"/>
    </row>
    <row r="28">
      <c r="A28" s="57"/>
      <c r="B28" s="58"/>
      <c r="D28" s="59"/>
      <c r="E28" s="58"/>
    </row>
    <row r="29">
      <c r="A29" s="57"/>
      <c r="B29" s="58"/>
      <c r="C29" s="59"/>
      <c r="D29" s="60"/>
      <c r="E29" s="58"/>
    </row>
    <row r="30">
      <c r="A30" s="57"/>
      <c r="B30" s="58"/>
      <c r="C30" s="59"/>
      <c r="D30" s="60"/>
      <c r="E30" s="58"/>
    </row>
    <row r="31">
      <c r="A31" s="57"/>
      <c r="B31" s="58"/>
      <c r="C31" s="59"/>
      <c r="D31" s="60"/>
      <c r="E31" s="58"/>
    </row>
    <row r="32">
      <c r="A32" s="57"/>
      <c r="B32" s="58"/>
      <c r="C32" s="59"/>
      <c r="D32" s="60"/>
      <c r="E32" s="58"/>
    </row>
    <row r="33">
      <c r="A33" s="57"/>
      <c r="B33" s="58"/>
      <c r="C33" s="59"/>
      <c r="D33" s="60"/>
      <c r="E33" s="58"/>
    </row>
    <row r="34">
      <c r="A34" s="57"/>
      <c r="B34" s="58"/>
      <c r="C34" s="59"/>
      <c r="D34" s="60"/>
      <c r="E34" s="58"/>
    </row>
    <row r="35">
      <c r="A35" s="57"/>
      <c r="B35" s="58"/>
      <c r="C35" s="59"/>
      <c r="D35" s="60"/>
      <c r="E35" s="58"/>
    </row>
    <row r="36">
      <c r="A36" s="57"/>
      <c r="B36" s="58"/>
      <c r="D36" s="59"/>
      <c r="E36" s="58"/>
    </row>
    <row r="37">
      <c r="A37" s="57"/>
      <c r="B37" s="58"/>
      <c r="D37" s="59"/>
      <c r="E37" s="58"/>
    </row>
    <row r="38">
      <c r="A38" s="57"/>
      <c r="B38" s="58"/>
      <c r="C38" s="59"/>
      <c r="D38" s="60"/>
      <c r="E38" s="58"/>
    </row>
    <row r="39">
      <c r="A39" s="57"/>
      <c r="B39" s="58"/>
      <c r="C39" s="59"/>
      <c r="D39" s="60"/>
      <c r="E39" s="58"/>
    </row>
    <row r="40">
      <c r="A40" s="57"/>
      <c r="B40" s="58"/>
      <c r="C40" s="59"/>
      <c r="D40" s="60"/>
      <c r="E40" s="58"/>
    </row>
    <row r="41">
      <c r="A41" s="57"/>
      <c r="B41" s="58"/>
      <c r="C41" s="59"/>
      <c r="D41" s="60"/>
      <c r="E41" s="58"/>
    </row>
    <row r="42">
      <c r="A42" s="57"/>
      <c r="B42" s="58"/>
      <c r="C42" s="59"/>
      <c r="D42" s="60"/>
      <c r="E42" s="58"/>
    </row>
    <row r="43">
      <c r="A43" s="57"/>
      <c r="B43" s="58"/>
      <c r="C43" s="59"/>
      <c r="D43" s="60"/>
      <c r="E43" s="58"/>
    </row>
    <row r="44">
      <c r="A44" s="57"/>
      <c r="B44" s="58"/>
      <c r="C44" s="59"/>
      <c r="D44" s="60"/>
      <c r="E44" s="58"/>
    </row>
    <row r="45">
      <c r="A45" s="57"/>
      <c r="B45" s="58"/>
      <c r="D45" s="59"/>
      <c r="E45" s="58"/>
    </row>
    <row r="46">
      <c r="A46" s="57"/>
      <c r="B46" s="58"/>
      <c r="C46" s="59"/>
      <c r="D46" s="60"/>
      <c r="E46" s="58"/>
    </row>
    <row r="47">
      <c r="A47" s="57"/>
      <c r="B47" s="58"/>
      <c r="D47" s="59"/>
      <c r="E47" s="58"/>
    </row>
    <row r="48">
      <c r="A48" s="57"/>
      <c r="B48" s="58"/>
      <c r="C48" s="59"/>
      <c r="D48" s="60"/>
      <c r="E48" s="58"/>
    </row>
    <row r="49">
      <c r="A49" s="57"/>
      <c r="B49" s="58"/>
      <c r="C49" s="59"/>
      <c r="D49" s="60"/>
      <c r="E49" s="58"/>
    </row>
    <row r="50">
      <c r="A50" s="57"/>
      <c r="B50" s="58"/>
      <c r="C50" s="59"/>
      <c r="D50" s="60"/>
      <c r="E50" s="58"/>
    </row>
    <row r="51">
      <c r="A51" s="57"/>
      <c r="B51" s="58"/>
      <c r="D51" s="59"/>
      <c r="E51" s="58"/>
    </row>
    <row r="52">
      <c r="A52" s="57"/>
      <c r="B52" s="58"/>
      <c r="D52" s="59"/>
      <c r="E52" s="58"/>
    </row>
    <row r="53">
      <c r="A53" s="57"/>
      <c r="B53" s="58"/>
      <c r="D53" s="59"/>
      <c r="E53" s="58"/>
    </row>
    <row r="54">
      <c r="A54" s="57"/>
      <c r="B54" s="58"/>
      <c r="C54" s="59"/>
      <c r="D54" s="60"/>
      <c r="E54" s="58"/>
    </row>
    <row r="55">
      <c r="A55" s="57"/>
      <c r="B55" s="58"/>
      <c r="C55" s="59"/>
      <c r="D55" s="60"/>
      <c r="E55" s="58"/>
    </row>
    <row r="56">
      <c r="A56" s="57"/>
      <c r="B56" s="58"/>
      <c r="C56" s="59"/>
      <c r="D56" s="60"/>
      <c r="E56" s="58"/>
    </row>
    <row r="57">
      <c r="A57" s="57"/>
      <c r="B57" s="58"/>
      <c r="C57" s="59"/>
      <c r="D57" s="60"/>
      <c r="E57" s="58"/>
    </row>
    <row r="58">
      <c r="A58" s="57"/>
      <c r="B58" s="58"/>
      <c r="C58" s="59"/>
      <c r="D58" s="60"/>
      <c r="E58" s="58"/>
    </row>
    <row r="59">
      <c r="A59" s="57"/>
      <c r="B59" s="58"/>
      <c r="C59" s="59"/>
      <c r="D59" s="60"/>
      <c r="E59" s="58"/>
    </row>
    <row r="60">
      <c r="A60" s="57"/>
      <c r="B60" s="58"/>
      <c r="D60" s="59"/>
      <c r="E60" s="58"/>
    </row>
    <row r="61">
      <c r="A61" s="57"/>
      <c r="B61" s="58"/>
      <c r="C61" s="59"/>
      <c r="D61" s="60"/>
      <c r="E61" s="58"/>
    </row>
    <row r="62">
      <c r="A62" s="57"/>
      <c r="B62" s="58"/>
      <c r="D62" s="59"/>
      <c r="E62" s="58"/>
    </row>
    <row r="63">
      <c r="A63" s="57"/>
      <c r="B63" s="58"/>
      <c r="D63" s="59"/>
      <c r="E63" s="58"/>
    </row>
    <row r="64">
      <c r="A64" s="57"/>
      <c r="B64" s="58"/>
      <c r="C64" s="59"/>
      <c r="D64" s="60"/>
      <c r="E64" s="58"/>
    </row>
    <row r="65">
      <c r="A65" s="57"/>
      <c r="B65" s="58"/>
      <c r="C65" s="59"/>
      <c r="D65" s="60"/>
      <c r="E65" s="58"/>
    </row>
    <row r="66">
      <c r="A66" s="57"/>
      <c r="B66" s="58"/>
      <c r="C66" s="59"/>
      <c r="D66" s="60"/>
      <c r="E66" s="58"/>
    </row>
    <row r="67">
      <c r="A67" s="57"/>
      <c r="B67" s="58"/>
      <c r="D67" s="59"/>
      <c r="E67" s="58"/>
    </row>
    <row r="68">
      <c r="A68" s="57"/>
      <c r="B68" s="58"/>
      <c r="D68" s="59"/>
      <c r="E68" s="58"/>
    </row>
    <row r="69">
      <c r="A69" s="57"/>
      <c r="B69" s="58"/>
      <c r="D69" s="59"/>
      <c r="E69" s="58"/>
    </row>
    <row r="70">
      <c r="A70" s="57"/>
      <c r="B70" s="58"/>
      <c r="C70" s="59"/>
      <c r="D70" s="60"/>
      <c r="E70" s="58"/>
    </row>
    <row r="71">
      <c r="A71" s="57"/>
      <c r="B71" s="58"/>
      <c r="C71" s="59"/>
      <c r="D71" s="60"/>
      <c r="E71" s="58"/>
    </row>
    <row r="72">
      <c r="A72" s="57"/>
      <c r="B72" s="58"/>
      <c r="C72" s="59"/>
      <c r="D72" s="60"/>
      <c r="E72" s="58"/>
    </row>
    <row r="73">
      <c r="A73" s="57"/>
      <c r="B73" s="58"/>
      <c r="C73" s="59"/>
      <c r="D73" s="60"/>
      <c r="E73" s="58"/>
    </row>
    <row r="74">
      <c r="A74" s="57"/>
      <c r="B74" s="58"/>
      <c r="C74" s="59"/>
      <c r="D74" s="60"/>
      <c r="E74" s="58"/>
    </row>
    <row r="75">
      <c r="A75" s="57"/>
      <c r="B75" s="58"/>
      <c r="C75" s="59"/>
      <c r="D75" s="60"/>
      <c r="E75" s="58"/>
    </row>
    <row r="76">
      <c r="A76" s="57"/>
      <c r="B76" s="58"/>
      <c r="C76" s="59"/>
      <c r="D76" s="60"/>
      <c r="E76" s="58"/>
    </row>
    <row r="77">
      <c r="A77" s="57"/>
      <c r="B77" s="58"/>
      <c r="D77" s="59"/>
      <c r="E77" s="58"/>
    </row>
    <row r="78">
      <c r="A78" s="57"/>
      <c r="B78" s="58"/>
      <c r="C78" s="59"/>
      <c r="D78" s="60"/>
      <c r="E78" s="58"/>
    </row>
    <row r="79">
      <c r="A79" s="57"/>
      <c r="B79" s="58"/>
      <c r="D79" s="59"/>
      <c r="E79" s="58"/>
    </row>
    <row r="80">
      <c r="A80" s="57"/>
      <c r="B80" s="58"/>
      <c r="C80" s="59"/>
      <c r="D80" s="60"/>
      <c r="E80" s="58"/>
    </row>
    <row r="81">
      <c r="A81" s="57"/>
      <c r="B81" s="58"/>
      <c r="C81" s="59"/>
      <c r="D81" s="60"/>
      <c r="E81" s="58"/>
    </row>
    <row r="82">
      <c r="A82" s="57"/>
      <c r="B82" s="58"/>
      <c r="D82" s="59"/>
      <c r="E82" s="58"/>
    </row>
    <row r="83">
      <c r="A83" s="57"/>
      <c r="B83" s="58"/>
      <c r="C83" s="59"/>
      <c r="D83" s="60"/>
      <c r="E83" s="58"/>
    </row>
    <row r="84">
      <c r="A84" s="57"/>
      <c r="B84" s="58"/>
      <c r="C84" s="59"/>
      <c r="D84" s="60"/>
      <c r="E84" s="58"/>
    </row>
    <row r="85">
      <c r="A85" s="57"/>
      <c r="B85" s="58"/>
      <c r="C85" s="59"/>
      <c r="D85" s="60"/>
      <c r="E85" s="58"/>
    </row>
    <row r="86">
      <c r="A86" s="57"/>
      <c r="B86" s="58"/>
      <c r="C86" s="59"/>
      <c r="D86" s="60"/>
      <c r="E86" s="58"/>
    </row>
    <row r="87">
      <c r="A87" s="57"/>
      <c r="B87" s="58"/>
      <c r="D87" s="59"/>
      <c r="E87" s="58"/>
    </row>
    <row r="88">
      <c r="A88" s="57"/>
      <c r="B88" s="58"/>
      <c r="C88" s="59"/>
      <c r="D88" s="60"/>
      <c r="E88" s="58"/>
    </row>
    <row r="89">
      <c r="A89" s="57"/>
      <c r="B89" s="58"/>
      <c r="C89" s="59"/>
      <c r="D89" s="60"/>
      <c r="E89" s="58"/>
    </row>
    <row r="90">
      <c r="A90" s="57"/>
      <c r="B90" s="58"/>
      <c r="C90" s="59"/>
      <c r="D90" s="60"/>
      <c r="E90" s="58"/>
    </row>
    <row r="91">
      <c r="A91" s="57"/>
      <c r="B91" s="58"/>
      <c r="D91" s="59"/>
      <c r="E91" s="58"/>
    </row>
    <row r="92">
      <c r="A92" s="57"/>
      <c r="B92" s="58"/>
      <c r="C92" s="59"/>
      <c r="D92" s="60"/>
      <c r="E92" s="58"/>
    </row>
    <row r="93">
      <c r="A93" s="57"/>
      <c r="B93" s="58"/>
      <c r="C93" s="59"/>
      <c r="D93" s="60"/>
      <c r="E93" s="58"/>
    </row>
    <row r="94">
      <c r="A94" s="57"/>
      <c r="B94" s="58"/>
      <c r="C94" s="59"/>
      <c r="D94" s="60"/>
      <c r="E94" s="58"/>
    </row>
    <row r="95">
      <c r="A95" s="57"/>
      <c r="B95" s="58"/>
      <c r="D95" s="59"/>
      <c r="E95" s="58"/>
    </row>
    <row r="96">
      <c r="A96" s="57"/>
      <c r="B96" s="58"/>
      <c r="C96" s="59"/>
      <c r="D96" s="60"/>
      <c r="E96" s="58"/>
    </row>
    <row r="97">
      <c r="A97" s="57"/>
      <c r="B97" s="58"/>
      <c r="C97" s="59"/>
      <c r="D97" s="60"/>
      <c r="E97" s="58"/>
    </row>
    <row r="98">
      <c r="A98" s="57"/>
      <c r="B98" s="58"/>
      <c r="C98" s="59"/>
      <c r="D98" s="60"/>
      <c r="E98" s="58"/>
    </row>
    <row r="99">
      <c r="A99" s="57"/>
      <c r="B99" s="58"/>
      <c r="C99" s="59"/>
      <c r="D99" s="60"/>
      <c r="E99" s="58"/>
    </row>
    <row r="100">
      <c r="A100" s="57"/>
      <c r="B100" s="58"/>
      <c r="C100" s="59"/>
      <c r="D100" s="60"/>
      <c r="E100" s="58"/>
    </row>
    <row r="101">
      <c r="A101" s="57"/>
      <c r="B101" s="58"/>
      <c r="D101" s="59"/>
      <c r="E101" s="58"/>
    </row>
    <row r="102">
      <c r="A102" s="57"/>
      <c r="B102" s="58"/>
      <c r="C102" s="59"/>
      <c r="D102" s="60"/>
      <c r="E102" s="58"/>
    </row>
    <row r="103">
      <c r="A103" s="57"/>
      <c r="B103" s="58"/>
      <c r="C103" s="59"/>
      <c r="D103" s="60"/>
      <c r="E103" s="58"/>
    </row>
    <row r="104">
      <c r="A104" s="57"/>
      <c r="B104" s="58"/>
      <c r="C104" s="59"/>
      <c r="D104" s="60"/>
      <c r="E104" s="58"/>
    </row>
    <row r="105">
      <c r="A105" s="57"/>
      <c r="B105" s="58"/>
      <c r="C105" s="59"/>
      <c r="D105" s="60"/>
      <c r="E105" s="58"/>
    </row>
    <row r="106">
      <c r="A106" s="57"/>
      <c r="B106" s="58"/>
      <c r="C106" s="59"/>
      <c r="D106" s="60"/>
      <c r="E106" s="58"/>
    </row>
    <row r="107">
      <c r="A107" s="57"/>
      <c r="B107" s="58"/>
      <c r="C107" s="59"/>
      <c r="D107" s="60"/>
      <c r="E107" s="58"/>
    </row>
    <row r="108">
      <c r="A108" s="57"/>
      <c r="B108" s="58"/>
      <c r="C108" s="59"/>
      <c r="D108" s="60"/>
      <c r="E108" s="58"/>
    </row>
    <row r="109">
      <c r="A109" s="57"/>
      <c r="B109" s="58"/>
      <c r="C109" s="59"/>
      <c r="D109" s="60"/>
      <c r="E109" s="58"/>
    </row>
    <row r="110">
      <c r="A110" s="57"/>
      <c r="B110" s="58"/>
      <c r="D110" s="59"/>
      <c r="E110" s="58"/>
    </row>
    <row r="111">
      <c r="A111" s="57"/>
      <c r="B111" s="58"/>
      <c r="C111" s="59"/>
      <c r="D111" s="60"/>
      <c r="E111" s="58"/>
    </row>
    <row r="112">
      <c r="A112" s="57"/>
      <c r="B112" s="58"/>
      <c r="C112" s="59"/>
      <c r="D112" s="60"/>
      <c r="E112" s="58"/>
    </row>
    <row r="113">
      <c r="A113" s="57"/>
      <c r="B113" s="58"/>
      <c r="C113" s="59"/>
      <c r="D113" s="60"/>
      <c r="E113" s="58"/>
    </row>
    <row r="114">
      <c r="A114" s="57"/>
      <c r="B114" s="58"/>
      <c r="C114" s="59"/>
      <c r="D114" s="60"/>
      <c r="E114" s="58"/>
    </row>
    <row r="115">
      <c r="A115" s="57"/>
      <c r="B115" s="58"/>
      <c r="C115" s="59"/>
      <c r="D115" s="60"/>
      <c r="E115" s="58"/>
    </row>
    <row r="116">
      <c r="A116" s="57"/>
      <c r="B116" s="58"/>
      <c r="C116" s="59"/>
      <c r="D116" s="60"/>
      <c r="E116" s="58"/>
    </row>
    <row r="117">
      <c r="A117" s="57"/>
      <c r="B117" s="58"/>
      <c r="C117" s="59"/>
      <c r="D117" s="60"/>
      <c r="E117" s="58"/>
    </row>
    <row r="118">
      <c r="A118" s="57"/>
      <c r="B118" s="58"/>
      <c r="D118" s="59"/>
      <c r="E118" s="58"/>
    </row>
    <row r="119">
      <c r="A119" s="57"/>
      <c r="B119" s="58"/>
      <c r="D119" s="59"/>
      <c r="E119" s="58"/>
    </row>
    <row r="120">
      <c r="A120" s="57"/>
      <c r="B120" s="58"/>
      <c r="C120" s="59"/>
      <c r="D120" s="60"/>
      <c r="E120" s="58"/>
    </row>
    <row r="121">
      <c r="A121" s="57"/>
      <c r="B121" s="58"/>
      <c r="C121" s="59"/>
      <c r="D121" s="60"/>
      <c r="E121" s="58"/>
    </row>
    <row r="122">
      <c r="A122" s="57"/>
      <c r="B122" s="58"/>
      <c r="C122" s="59"/>
      <c r="D122" s="60"/>
      <c r="E122" s="58"/>
    </row>
    <row r="123">
      <c r="A123" s="57"/>
      <c r="B123" s="58"/>
      <c r="D123" s="59"/>
      <c r="E123" s="58"/>
    </row>
    <row r="124">
      <c r="A124" s="57"/>
      <c r="B124" s="58"/>
      <c r="C124" s="59"/>
      <c r="D124" s="60"/>
      <c r="E124" s="58"/>
    </row>
    <row r="125">
      <c r="A125" s="57"/>
      <c r="B125" s="58"/>
      <c r="D125" s="59"/>
      <c r="E125" s="58"/>
    </row>
    <row r="126">
      <c r="A126" s="57"/>
      <c r="B126" s="58"/>
      <c r="C126" s="59"/>
      <c r="D126" s="60"/>
      <c r="E126" s="58"/>
    </row>
    <row r="127">
      <c r="A127" s="57"/>
      <c r="B127" s="58"/>
      <c r="C127" s="59"/>
      <c r="D127" s="60"/>
      <c r="E127" s="58"/>
    </row>
    <row r="128">
      <c r="A128" s="57"/>
      <c r="B128" s="58"/>
      <c r="C128" s="59"/>
      <c r="D128" s="60"/>
      <c r="E128" s="58"/>
    </row>
    <row r="129">
      <c r="A129" s="57"/>
      <c r="B129" s="58"/>
      <c r="C129" s="59"/>
      <c r="D129" s="60"/>
      <c r="E129" s="58"/>
    </row>
    <row r="130">
      <c r="A130" s="57"/>
      <c r="B130" s="58"/>
      <c r="C130" s="59"/>
      <c r="D130" s="60"/>
      <c r="E130" s="58"/>
    </row>
    <row r="131">
      <c r="A131" s="57"/>
      <c r="B131" s="58"/>
      <c r="C131" s="59"/>
      <c r="D131" s="60"/>
      <c r="E131" s="58"/>
    </row>
    <row r="132">
      <c r="A132" s="57"/>
      <c r="B132" s="58"/>
      <c r="C132" s="59"/>
      <c r="D132" s="60"/>
      <c r="E132" s="58"/>
    </row>
    <row r="133">
      <c r="A133" s="57"/>
      <c r="B133" s="58"/>
      <c r="C133" s="59"/>
      <c r="D133" s="60"/>
      <c r="E133" s="58"/>
    </row>
    <row r="134">
      <c r="A134" s="57"/>
      <c r="B134" s="58"/>
      <c r="D134" s="59"/>
      <c r="E134" s="58"/>
    </row>
    <row r="135">
      <c r="A135" s="57"/>
      <c r="B135" s="58"/>
      <c r="C135" s="59"/>
      <c r="D135" s="60"/>
      <c r="E135" s="58"/>
    </row>
    <row r="136">
      <c r="A136" s="57"/>
      <c r="B136" s="58"/>
      <c r="C136" s="59"/>
      <c r="D136" s="60"/>
      <c r="E136" s="58"/>
    </row>
    <row r="137">
      <c r="A137" s="57"/>
      <c r="B137" s="58"/>
      <c r="D137" s="59"/>
      <c r="E137" s="58"/>
    </row>
    <row r="138">
      <c r="A138" s="57"/>
      <c r="B138" s="58"/>
      <c r="C138" s="59"/>
      <c r="D138" s="60"/>
      <c r="E138" s="58"/>
    </row>
    <row r="139">
      <c r="A139" s="57"/>
      <c r="B139" s="58"/>
      <c r="C139" s="59"/>
      <c r="D139" s="60"/>
      <c r="E139" s="58"/>
    </row>
    <row r="140">
      <c r="A140" s="57"/>
      <c r="B140" s="58"/>
      <c r="C140" s="59"/>
      <c r="D140" s="60"/>
      <c r="E140" s="58"/>
    </row>
    <row r="141">
      <c r="A141" s="57"/>
      <c r="B141" s="58"/>
      <c r="C141" s="59"/>
      <c r="D141" s="60"/>
      <c r="E141" s="58"/>
    </row>
    <row r="142">
      <c r="A142" s="57"/>
      <c r="B142" s="58"/>
      <c r="C142" s="59"/>
      <c r="D142" s="60"/>
      <c r="E142" s="58"/>
    </row>
    <row r="143">
      <c r="A143" s="57"/>
      <c r="B143" s="58"/>
      <c r="C143" s="59"/>
      <c r="D143" s="60"/>
      <c r="E143" s="58"/>
    </row>
    <row r="144">
      <c r="A144" s="57"/>
      <c r="B144" s="58"/>
      <c r="C144" s="59"/>
      <c r="D144" s="60"/>
      <c r="E144" s="58"/>
    </row>
    <row r="145">
      <c r="A145" s="57"/>
      <c r="B145" s="58"/>
      <c r="C145" s="59"/>
      <c r="D145" s="60"/>
      <c r="E145" s="58"/>
    </row>
    <row r="146">
      <c r="A146" s="57"/>
      <c r="B146" s="58"/>
      <c r="C146" s="59"/>
      <c r="D146" s="60"/>
      <c r="E146" s="58"/>
    </row>
    <row r="147">
      <c r="A147" s="57"/>
      <c r="B147" s="58"/>
      <c r="D147" s="59"/>
      <c r="E147" s="58"/>
    </row>
    <row r="148">
      <c r="A148" s="57"/>
      <c r="B148" s="58"/>
      <c r="D148" s="59"/>
      <c r="E148" s="58"/>
    </row>
    <row r="149">
      <c r="A149" s="57"/>
      <c r="B149" s="58"/>
      <c r="C149" s="59"/>
      <c r="D149" s="60"/>
      <c r="E149" s="58"/>
    </row>
    <row r="150">
      <c r="A150" s="57"/>
      <c r="B150" s="58"/>
      <c r="C150" s="59"/>
      <c r="D150" s="60"/>
      <c r="E150" s="58"/>
    </row>
    <row r="151">
      <c r="A151" s="57"/>
      <c r="B151" s="58"/>
      <c r="C151" s="59"/>
      <c r="D151" s="60"/>
      <c r="E151" s="58"/>
    </row>
    <row r="152">
      <c r="A152" s="57"/>
      <c r="B152" s="58"/>
      <c r="C152" s="59"/>
      <c r="D152" s="60"/>
      <c r="E152" s="58"/>
    </row>
    <row r="153">
      <c r="A153" s="57"/>
      <c r="B153" s="58"/>
      <c r="C153" s="59"/>
      <c r="D153" s="60"/>
      <c r="E153" s="58"/>
    </row>
    <row r="154">
      <c r="A154" s="57"/>
      <c r="B154" s="58"/>
      <c r="C154" s="59"/>
      <c r="D154" s="60"/>
      <c r="E154" s="58"/>
    </row>
    <row r="155">
      <c r="A155" s="57"/>
      <c r="B155" s="58"/>
      <c r="C155" s="59"/>
      <c r="D155" s="60"/>
      <c r="E155" s="58"/>
    </row>
    <row r="156">
      <c r="A156" s="57"/>
      <c r="B156" s="58"/>
      <c r="C156" s="59"/>
      <c r="D156" s="60"/>
      <c r="E156" s="58"/>
    </row>
    <row r="157">
      <c r="A157" s="57"/>
      <c r="B157" s="58"/>
      <c r="C157" s="59"/>
      <c r="D157" s="60"/>
      <c r="E157" s="58"/>
    </row>
    <row r="158">
      <c r="A158" s="57"/>
      <c r="B158" s="58"/>
      <c r="C158" s="59"/>
      <c r="D158" s="60"/>
      <c r="E158" s="58"/>
    </row>
    <row r="159">
      <c r="A159" s="57"/>
      <c r="B159" s="58"/>
      <c r="C159" s="59"/>
      <c r="D159" s="60"/>
      <c r="E159" s="58"/>
    </row>
    <row r="160">
      <c r="A160" s="57"/>
      <c r="B160" s="58"/>
      <c r="C160" s="59"/>
      <c r="D160" s="60"/>
      <c r="E160" s="58"/>
    </row>
    <row r="161">
      <c r="A161" s="57"/>
      <c r="B161" s="58"/>
      <c r="C161" s="59"/>
      <c r="D161" s="60"/>
      <c r="E161" s="58"/>
    </row>
    <row r="162">
      <c r="A162" s="57"/>
      <c r="B162" s="58"/>
      <c r="C162" s="59"/>
      <c r="D162" s="60"/>
      <c r="E162" s="58"/>
    </row>
    <row r="163">
      <c r="A163" s="57"/>
      <c r="B163" s="58"/>
      <c r="C163" s="59"/>
      <c r="D163" s="60"/>
      <c r="E163" s="58"/>
    </row>
    <row r="164">
      <c r="A164" s="57"/>
      <c r="B164" s="58"/>
      <c r="D164" s="59"/>
      <c r="E164" s="58"/>
    </row>
    <row r="165">
      <c r="A165" s="57"/>
      <c r="B165" s="58"/>
      <c r="C165" s="59"/>
      <c r="D165" s="60"/>
      <c r="E165" s="58"/>
    </row>
    <row r="166">
      <c r="A166" s="57"/>
      <c r="B166" s="58"/>
      <c r="C166" s="59"/>
      <c r="D166" s="60"/>
      <c r="E166" s="58"/>
    </row>
    <row r="167">
      <c r="A167" s="57"/>
      <c r="B167" s="58"/>
      <c r="C167" s="59"/>
      <c r="D167" s="60"/>
      <c r="E167" s="58"/>
    </row>
    <row r="168">
      <c r="A168" s="57"/>
      <c r="B168" s="58"/>
      <c r="C168" s="59"/>
      <c r="D168" s="60"/>
      <c r="E168" s="58"/>
    </row>
    <row r="169">
      <c r="A169" s="57"/>
      <c r="B169" s="58"/>
      <c r="C169" s="59"/>
      <c r="D169" s="60"/>
      <c r="E169" s="58"/>
    </row>
    <row r="170">
      <c r="A170" s="57"/>
      <c r="B170" s="58"/>
      <c r="C170" s="59"/>
      <c r="D170" s="60"/>
      <c r="E170" s="58"/>
    </row>
    <row r="171">
      <c r="A171" s="57"/>
      <c r="B171" s="58"/>
      <c r="C171" s="59"/>
      <c r="D171" s="60"/>
      <c r="E171" s="58"/>
    </row>
    <row r="172">
      <c r="A172" s="57"/>
      <c r="B172" s="58"/>
      <c r="D172" s="59"/>
      <c r="E172" s="58"/>
    </row>
    <row r="173">
      <c r="A173" s="57"/>
      <c r="B173" s="58"/>
      <c r="D173" s="59"/>
      <c r="E173" s="58"/>
    </row>
    <row r="174">
      <c r="A174" s="57"/>
      <c r="B174" s="58"/>
      <c r="C174" s="59"/>
      <c r="D174" s="60"/>
      <c r="E174" s="58"/>
    </row>
    <row r="175">
      <c r="A175" s="57"/>
      <c r="B175" s="58"/>
      <c r="C175" s="59"/>
      <c r="D175" s="60"/>
      <c r="E175" s="58"/>
    </row>
    <row r="176">
      <c r="A176" s="57"/>
      <c r="B176" s="58"/>
      <c r="C176" s="59"/>
      <c r="D176" s="60"/>
      <c r="E176" s="58"/>
    </row>
    <row r="177">
      <c r="A177" s="57"/>
      <c r="B177" s="58"/>
      <c r="D177" s="59"/>
      <c r="E177" s="58"/>
    </row>
    <row r="178">
      <c r="A178" s="57"/>
      <c r="B178" s="58"/>
      <c r="D178" s="59"/>
      <c r="E178" s="58"/>
    </row>
    <row r="179">
      <c r="A179" s="57"/>
      <c r="B179" s="58"/>
      <c r="C179" s="59"/>
      <c r="D179" s="60"/>
      <c r="E179" s="58"/>
    </row>
    <row r="180">
      <c r="A180" s="57"/>
      <c r="B180" s="58"/>
      <c r="C180" s="59"/>
      <c r="D180" s="60"/>
      <c r="E180" s="58"/>
    </row>
    <row r="181">
      <c r="A181" s="57"/>
      <c r="B181" s="58"/>
      <c r="C181" s="59"/>
      <c r="D181" s="60"/>
      <c r="E181" s="58"/>
    </row>
    <row r="182">
      <c r="A182" s="57"/>
      <c r="B182" s="58"/>
      <c r="C182" s="59"/>
      <c r="D182" s="60"/>
      <c r="E182" s="58"/>
    </row>
    <row r="183">
      <c r="A183" s="57"/>
      <c r="B183" s="58"/>
      <c r="D183" s="59"/>
      <c r="E183" s="58"/>
    </row>
    <row r="184">
      <c r="A184" s="57"/>
      <c r="B184" s="58"/>
      <c r="C184" s="59"/>
      <c r="D184" s="60"/>
      <c r="E184" s="58"/>
    </row>
    <row r="185">
      <c r="A185" s="57"/>
      <c r="B185" s="58"/>
      <c r="C185" s="59"/>
      <c r="D185" s="60"/>
      <c r="E185" s="58"/>
    </row>
    <row r="186">
      <c r="A186" s="57"/>
      <c r="B186" s="58"/>
      <c r="C186" s="59"/>
      <c r="D186" s="60"/>
      <c r="E186" s="58"/>
    </row>
    <row r="187">
      <c r="A187" s="57"/>
      <c r="B187" s="58"/>
      <c r="C187" s="59"/>
      <c r="D187" s="60"/>
      <c r="E187" s="58"/>
    </row>
    <row r="188">
      <c r="A188" s="57"/>
      <c r="B188" s="58"/>
      <c r="C188" s="59"/>
      <c r="D188" s="60"/>
      <c r="E188" s="58"/>
    </row>
    <row r="189">
      <c r="A189" s="57"/>
      <c r="B189" s="58"/>
      <c r="D189" s="59"/>
      <c r="E189" s="58"/>
    </row>
    <row r="190">
      <c r="A190" s="57"/>
      <c r="B190" s="58"/>
      <c r="D190" s="59"/>
      <c r="E190" s="58"/>
    </row>
    <row r="191">
      <c r="A191" s="57"/>
      <c r="B191" s="58"/>
      <c r="C191" s="59"/>
      <c r="D191" s="60"/>
      <c r="E191" s="58"/>
    </row>
    <row r="192">
      <c r="A192" s="57"/>
      <c r="B192" s="58"/>
      <c r="C192" s="59"/>
      <c r="D192" s="60"/>
      <c r="E192" s="58"/>
    </row>
    <row r="193">
      <c r="A193" s="57"/>
      <c r="B193" s="58"/>
      <c r="D193" s="59"/>
      <c r="E193" s="58"/>
    </row>
    <row r="194">
      <c r="A194" s="57"/>
      <c r="B194" s="58"/>
      <c r="C194" s="59"/>
      <c r="D194" s="60"/>
      <c r="E194" s="58"/>
    </row>
    <row r="195">
      <c r="A195" s="57"/>
      <c r="B195" s="58"/>
      <c r="D195" s="59"/>
      <c r="E195" s="58"/>
    </row>
    <row r="196">
      <c r="A196" s="57"/>
      <c r="B196" s="58"/>
      <c r="D196" s="59"/>
      <c r="E196" s="58"/>
    </row>
    <row r="197">
      <c r="A197" s="57"/>
      <c r="B197" s="58"/>
      <c r="D197" s="59"/>
      <c r="E197" s="58"/>
    </row>
    <row r="198">
      <c r="A198" s="57"/>
      <c r="B198" s="58"/>
      <c r="C198" s="59"/>
      <c r="D198" s="60"/>
      <c r="E198" s="58"/>
    </row>
    <row r="199">
      <c r="A199" s="57"/>
      <c r="B199" s="58"/>
      <c r="C199" s="59"/>
      <c r="D199" s="60"/>
      <c r="E199" s="58"/>
    </row>
    <row r="200">
      <c r="A200" s="57"/>
      <c r="B200" s="58"/>
      <c r="C200" s="59"/>
      <c r="D200" s="60"/>
      <c r="E200" s="58"/>
    </row>
    <row r="201">
      <c r="A201" s="57"/>
      <c r="B201" s="58"/>
      <c r="C201" s="59"/>
      <c r="D201" s="60"/>
      <c r="E201" s="58"/>
    </row>
    <row r="202">
      <c r="A202" s="57"/>
      <c r="B202" s="58"/>
      <c r="C202" s="59"/>
      <c r="D202" s="60"/>
      <c r="E202" s="58"/>
    </row>
    <row r="203">
      <c r="A203" s="57"/>
      <c r="B203" s="58"/>
      <c r="C203" s="59"/>
      <c r="D203" s="60"/>
      <c r="E203" s="58"/>
    </row>
    <row r="204">
      <c r="A204" s="57"/>
      <c r="B204" s="58"/>
      <c r="C204" s="59"/>
      <c r="D204" s="60"/>
      <c r="E204" s="58"/>
    </row>
    <row r="205">
      <c r="A205" s="57"/>
      <c r="B205" s="58"/>
      <c r="C205" s="59"/>
      <c r="D205" s="60"/>
      <c r="E205" s="58"/>
    </row>
    <row r="206">
      <c r="A206" s="57"/>
      <c r="B206" s="58"/>
      <c r="C206" s="59"/>
      <c r="D206" s="60"/>
      <c r="E206" s="58"/>
    </row>
    <row r="207">
      <c r="A207" s="57"/>
      <c r="B207" s="58"/>
      <c r="C207" s="59"/>
      <c r="D207" s="60"/>
      <c r="E207" s="58"/>
    </row>
    <row r="208">
      <c r="A208" s="57"/>
      <c r="B208" s="58"/>
      <c r="D208" s="59"/>
      <c r="E208" s="58"/>
    </row>
    <row r="209">
      <c r="A209" s="57"/>
      <c r="B209" s="58"/>
      <c r="C209" s="59"/>
      <c r="D209" s="60"/>
      <c r="E209" s="58"/>
    </row>
    <row r="210">
      <c r="A210" s="57"/>
      <c r="B210" s="58"/>
      <c r="C210" s="59"/>
      <c r="D210" s="60"/>
      <c r="E210" s="58"/>
    </row>
    <row r="211">
      <c r="A211" s="57"/>
      <c r="B211" s="58"/>
      <c r="C211" s="59"/>
      <c r="D211" s="60"/>
      <c r="E211" s="58"/>
    </row>
    <row r="212">
      <c r="A212" s="57"/>
      <c r="B212" s="58"/>
      <c r="C212" s="59"/>
      <c r="D212" s="60"/>
      <c r="E212" s="58"/>
    </row>
    <row r="213">
      <c r="A213" s="57"/>
      <c r="B213" s="58"/>
      <c r="C213" s="59"/>
      <c r="D213" s="60"/>
      <c r="E213" s="58"/>
    </row>
    <row r="214">
      <c r="A214" s="57"/>
      <c r="B214" s="58"/>
      <c r="D214" s="59"/>
      <c r="E214" s="58"/>
    </row>
    <row r="215">
      <c r="A215" s="57"/>
      <c r="B215" s="58"/>
      <c r="C215" s="59"/>
      <c r="D215" s="60"/>
      <c r="E215" s="58"/>
    </row>
    <row r="216">
      <c r="A216" s="57"/>
      <c r="B216" s="58"/>
      <c r="D216" s="59"/>
      <c r="E216" s="58"/>
    </row>
    <row r="217">
      <c r="A217" s="57"/>
      <c r="B217" s="58"/>
      <c r="C217" s="59"/>
      <c r="D217" s="60"/>
      <c r="E217" s="58"/>
    </row>
    <row r="218">
      <c r="A218" s="57"/>
      <c r="B218" s="58"/>
      <c r="C218" s="59"/>
      <c r="D218" s="60"/>
      <c r="E218" s="58"/>
    </row>
    <row r="219">
      <c r="A219" s="57"/>
      <c r="B219" s="58"/>
      <c r="D219" s="59"/>
      <c r="E219" s="58"/>
    </row>
    <row r="220">
      <c r="A220" s="57"/>
      <c r="B220" s="58"/>
      <c r="C220" s="59"/>
      <c r="D220" s="60"/>
      <c r="E220" s="58"/>
    </row>
    <row r="221">
      <c r="A221" s="57"/>
      <c r="B221" s="58"/>
      <c r="C221" s="59"/>
      <c r="D221" s="60"/>
      <c r="E221" s="58"/>
    </row>
    <row r="222">
      <c r="A222" s="57"/>
      <c r="B222" s="58"/>
      <c r="C222" s="59"/>
      <c r="D222" s="60"/>
      <c r="E222" s="58"/>
    </row>
    <row r="223">
      <c r="A223" s="57"/>
      <c r="B223" s="58"/>
      <c r="C223" s="59"/>
      <c r="D223" s="60"/>
      <c r="E223" s="58"/>
    </row>
    <row r="224">
      <c r="A224" s="57"/>
      <c r="B224" s="58"/>
      <c r="C224" s="59"/>
      <c r="D224" s="60"/>
      <c r="E224" s="58"/>
    </row>
    <row r="225">
      <c r="A225" s="57"/>
      <c r="B225" s="58"/>
      <c r="C225" s="59"/>
      <c r="D225" s="60"/>
      <c r="E225" s="58"/>
    </row>
    <row r="226">
      <c r="A226" s="57"/>
      <c r="B226" s="58"/>
      <c r="D226" s="59"/>
      <c r="E226" s="58"/>
    </row>
    <row r="227">
      <c r="A227" s="57"/>
      <c r="B227" s="58"/>
      <c r="C227" s="59"/>
      <c r="D227" s="60"/>
      <c r="E227" s="58"/>
    </row>
    <row r="228">
      <c r="A228" s="57"/>
      <c r="B228" s="58"/>
      <c r="D228" s="59"/>
      <c r="E228" s="58"/>
    </row>
    <row r="229">
      <c r="A229" s="57"/>
      <c r="B229" s="58"/>
      <c r="C229" s="59"/>
      <c r="D229" s="60"/>
      <c r="E229" s="58"/>
    </row>
    <row r="230">
      <c r="A230" s="57"/>
      <c r="B230" s="58"/>
      <c r="C230" s="59"/>
      <c r="D230" s="60"/>
      <c r="E230" s="58"/>
    </row>
    <row r="231">
      <c r="A231" s="57"/>
      <c r="B231" s="58"/>
      <c r="D231" s="59"/>
      <c r="E231" s="58"/>
    </row>
    <row r="232">
      <c r="A232" s="57"/>
      <c r="B232" s="58"/>
      <c r="C232" s="59"/>
      <c r="D232" s="60"/>
      <c r="E232" s="58"/>
    </row>
    <row r="233">
      <c r="A233" s="57"/>
      <c r="B233" s="58"/>
      <c r="C233" s="59"/>
      <c r="D233" s="60"/>
      <c r="E233" s="58"/>
    </row>
    <row r="234">
      <c r="A234" s="57"/>
      <c r="B234" s="58"/>
      <c r="C234" s="59"/>
      <c r="D234" s="60"/>
      <c r="E234" s="58"/>
    </row>
    <row r="235">
      <c r="A235" s="57"/>
      <c r="B235" s="58"/>
      <c r="C235" s="59"/>
      <c r="D235" s="60"/>
      <c r="E235" s="58"/>
    </row>
    <row r="236">
      <c r="A236" s="57"/>
      <c r="B236" s="58"/>
      <c r="C236" s="59"/>
      <c r="D236" s="60"/>
      <c r="E236" s="58"/>
    </row>
    <row r="237">
      <c r="A237" s="57"/>
      <c r="B237" s="58"/>
      <c r="C237" s="59"/>
      <c r="D237" s="60"/>
      <c r="E237" s="58"/>
    </row>
    <row r="238">
      <c r="A238" s="57"/>
      <c r="B238" s="58"/>
      <c r="C238" s="59"/>
      <c r="D238" s="60"/>
      <c r="E238" s="58"/>
    </row>
    <row r="239">
      <c r="A239" s="57"/>
      <c r="B239" s="58"/>
      <c r="D239" s="59"/>
      <c r="E239" s="58"/>
    </row>
    <row r="240">
      <c r="A240" s="57"/>
      <c r="B240" s="58"/>
      <c r="C240" s="59"/>
      <c r="D240" s="60"/>
      <c r="E240" s="58"/>
    </row>
    <row r="241">
      <c r="A241" s="57"/>
      <c r="B241" s="58"/>
      <c r="C241" s="59"/>
      <c r="D241" s="60"/>
      <c r="E241" s="58"/>
    </row>
    <row r="242">
      <c r="A242" s="57"/>
      <c r="B242" s="58"/>
      <c r="C242" s="59"/>
      <c r="D242" s="60"/>
      <c r="E242" s="58"/>
    </row>
    <row r="243">
      <c r="A243" s="57"/>
      <c r="B243" s="58"/>
      <c r="D243" s="59"/>
      <c r="E243" s="58"/>
    </row>
    <row r="244">
      <c r="A244" s="57"/>
      <c r="B244" s="58"/>
      <c r="C244" s="59"/>
      <c r="D244" s="60"/>
      <c r="E244" s="58"/>
    </row>
    <row r="245">
      <c r="A245" s="57"/>
      <c r="B245" s="58"/>
      <c r="C245" s="59"/>
      <c r="D245" s="60"/>
      <c r="E245" s="58"/>
    </row>
    <row r="246">
      <c r="A246" s="57"/>
      <c r="B246" s="58"/>
      <c r="C246" s="59"/>
      <c r="D246" s="60"/>
      <c r="E246" s="58"/>
    </row>
    <row r="247">
      <c r="A247" s="57"/>
      <c r="B247" s="58"/>
      <c r="C247" s="59"/>
      <c r="D247" s="60"/>
      <c r="E247" s="58"/>
    </row>
    <row r="248">
      <c r="A248" s="57"/>
      <c r="B248" s="58"/>
      <c r="D248" s="59"/>
      <c r="E248" s="58"/>
    </row>
    <row r="249">
      <c r="A249" s="57"/>
      <c r="B249" s="58"/>
      <c r="D249" s="59"/>
      <c r="E249" s="58"/>
    </row>
    <row r="250">
      <c r="A250" s="57"/>
      <c r="B250" s="58"/>
      <c r="C250" s="59"/>
      <c r="D250" s="60"/>
      <c r="E250" s="58"/>
    </row>
    <row r="251">
      <c r="A251" s="57"/>
      <c r="B251" s="58"/>
      <c r="C251" s="59"/>
      <c r="D251" s="60"/>
      <c r="E251" s="58"/>
    </row>
    <row r="252">
      <c r="A252" s="57"/>
      <c r="B252" s="58"/>
      <c r="C252" s="59"/>
      <c r="D252" s="60"/>
      <c r="E252" s="58"/>
    </row>
    <row r="253">
      <c r="A253" s="57"/>
      <c r="B253" s="58"/>
      <c r="C253" s="59"/>
      <c r="D253" s="60"/>
      <c r="E253" s="58"/>
    </row>
    <row r="254">
      <c r="A254" s="57"/>
      <c r="B254" s="58"/>
      <c r="C254" s="59"/>
      <c r="D254" s="60"/>
      <c r="E254" s="58"/>
    </row>
    <row r="255">
      <c r="A255" s="57"/>
      <c r="B255" s="58"/>
      <c r="C255" s="59"/>
      <c r="D255" s="60"/>
      <c r="E255" s="58"/>
    </row>
    <row r="256">
      <c r="A256" s="57"/>
      <c r="B256" s="58"/>
      <c r="C256" s="59"/>
      <c r="D256" s="60"/>
      <c r="E256" s="58"/>
    </row>
    <row r="257">
      <c r="A257" s="57"/>
      <c r="B257" s="58"/>
      <c r="C257" s="59"/>
      <c r="D257" s="60"/>
      <c r="E257" s="58"/>
    </row>
    <row r="258">
      <c r="A258" s="57"/>
      <c r="B258" s="58"/>
      <c r="C258" s="59"/>
      <c r="D258" s="60"/>
      <c r="E258" s="58"/>
    </row>
    <row r="259">
      <c r="A259" s="57"/>
      <c r="B259" s="58"/>
      <c r="C259" s="59"/>
      <c r="D259" s="60"/>
      <c r="E259" s="58"/>
    </row>
    <row r="260">
      <c r="A260" s="57"/>
      <c r="B260" s="58"/>
      <c r="C260" s="59"/>
      <c r="D260" s="60"/>
      <c r="E260" s="58"/>
    </row>
    <row r="261">
      <c r="A261" s="57"/>
      <c r="B261" s="58"/>
      <c r="C261" s="59"/>
      <c r="D261" s="60"/>
      <c r="E261" s="58"/>
    </row>
    <row r="262">
      <c r="A262" s="57"/>
      <c r="B262" s="58"/>
      <c r="C262" s="59"/>
      <c r="D262" s="60"/>
      <c r="E262" s="58"/>
    </row>
    <row r="263">
      <c r="A263" s="57"/>
      <c r="B263" s="58"/>
      <c r="C263" s="59"/>
      <c r="D263" s="60"/>
      <c r="E263" s="58"/>
    </row>
    <row r="264">
      <c r="A264" s="57"/>
      <c r="B264" s="58"/>
      <c r="D264" s="59"/>
      <c r="E264" s="58"/>
    </row>
    <row r="265">
      <c r="A265" s="57"/>
      <c r="B265" s="58"/>
      <c r="C265" s="59"/>
      <c r="D265" s="60"/>
      <c r="E265" s="58"/>
    </row>
    <row r="266">
      <c r="A266" s="57"/>
      <c r="B266" s="58"/>
      <c r="C266" s="59"/>
      <c r="D266" s="60"/>
      <c r="E266" s="58"/>
    </row>
    <row r="267">
      <c r="A267" s="57"/>
      <c r="B267" s="58"/>
      <c r="D267" s="59"/>
      <c r="E267" s="58"/>
    </row>
    <row r="268">
      <c r="A268" s="57"/>
      <c r="B268" s="58"/>
      <c r="D268" s="59"/>
      <c r="E268" s="58"/>
    </row>
    <row r="269">
      <c r="A269" s="57"/>
      <c r="B269" s="58"/>
      <c r="C269" s="59"/>
      <c r="D269" s="60"/>
      <c r="E269" s="58"/>
    </row>
    <row r="270">
      <c r="A270" s="57"/>
      <c r="B270" s="58"/>
      <c r="C270" s="59"/>
      <c r="D270" s="60"/>
      <c r="E270" s="58"/>
    </row>
    <row r="271">
      <c r="A271" s="57"/>
      <c r="B271" s="58"/>
      <c r="C271" s="59"/>
      <c r="D271" s="60"/>
      <c r="E271" s="58"/>
    </row>
    <row r="272">
      <c r="A272" s="57"/>
      <c r="B272" s="58"/>
      <c r="C272" s="59"/>
      <c r="D272" s="60"/>
      <c r="E272" s="58"/>
    </row>
    <row r="273">
      <c r="A273" s="57"/>
      <c r="B273" s="58"/>
      <c r="C273" s="59"/>
      <c r="D273" s="60"/>
      <c r="E273" s="58"/>
    </row>
    <row r="274">
      <c r="A274" s="57"/>
      <c r="B274" s="58"/>
      <c r="C274" s="59"/>
      <c r="D274" s="60"/>
      <c r="E274" s="58"/>
    </row>
    <row r="275">
      <c r="A275" s="57"/>
      <c r="B275" s="58"/>
      <c r="C275" s="59"/>
      <c r="D275" s="60"/>
      <c r="E275" s="58"/>
    </row>
    <row r="276">
      <c r="A276" s="57"/>
      <c r="B276" s="58"/>
      <c r="D276" s="59"/>
      <c r="E276" s="58"/>
    </row>
    <row r="277">
      <c r="A277" s="57"/>
      <c r="B277" s="58"/>
      <c r="C277" s="59"/>
      <c r="D277" s="60"/>
      <c r="E277" s="58"/>
    </row>
    <row r="278">
      <c r="A278" s="57"/>
      <c r="B278" s="58"/>
      <c r="C278" s="59"/>
      <c r="D278" s="60"/>
      <c r="E278" s="58"/>
    </row>
    <row r="279">
      <c r="A279" s="57"/>
      <c r="B279" s="58"/>
      <c r="D279" s="59"/>
      <c r="E279" s="58"/>
    </row>
    <row r="280">
      <c r="A280" s="57"/>
      <c r="B280" s="58"/>
      <c r="C280" s="59"/>
      <c r="D280" s="60"/>
      <c r="E280" s="58"/>
    </row>
    <row r="281">
      <c r="A281" s="57"/>
      <c r="B281" s="58"/>
      <c r="C281" s="59"/>
      <c r="D281" s="60"/>
      <c r="E281" s="58"/>
    </row>
    <row r="282">
      <c r="A282" s="57"/>
      <c r="B282" s="58"/>
      <c r="C282" s="59"/>
      <c r="D282" s="60"/>
      <c r="E282" s="58"/>
    </row>
    <row r="283">
      <c r="A283" s="57"/>
      <c r="B283" s="58"/>
      <c r="C283" s="59"/>
      <c r="D283" s="60"/>
      <c r="E283" s="58"/>
    </row>
    <row r="284">
      <c r="A284" s="57"/>
      <c r="B284" s="58"/>
      <c r="C284" s="59"/>
      <c r="D284" s="60"/>
      <c r="E284" s="58"/>
    </row>
    <row r="285">
      <c r="A285" s="57"/>
      <c r="B285" s="58"/>
      <c r="D285" s="59"/>
      <c r="E285" s="58"/>
    </row>
    <row r="286">
      <c r="A286" s="57"/>
      <c r="B286" s="58"/>
      <c r="D286" s="59"/>
      <c r="E286" s="58"/>
    </row>
    <row r="287">
      <c r="A287" s="57"/>
      <c r="B287" s="58"/>
      <c r="D287" s="59"/>
      <c r="E287" s="58"/>
    </row>
    <row r="288">
      <c r="A288" s="57"/>
      <c r="B288" s="58"/>
      <c r="C288" s="59"/>
      <c r="D288" s="60"/>
      <c r="E288" s="58"/>
    </row>
    <row r="289">
      <c r="A289" s="57"/>
      <c r="B289" s="58"/>
      <c r="C289" s="59"/>
      <c r="D289" s="60"/>
      <c r="E289" s="58"/>
    </row>
    <row r="290">
      <c r="A290" s="57"/>
      <c r="B290" s="58"/>
      <c r="C290" s="59"/>
      <c r="D290" s="60"/>
      <c r="E290" s="58"/>
    </row>
    <row r="291">
      <c r="A291" s="57"/>
      <c r="B291" s="58"/>
      <c r="D291" s="59"/>
      <c r="E291" s="58"/>
    </row>
    <row r="292">
      <c r="A292" s="57"/>
      <c r="B292" s="58"/>
      <c r="D292" s="59"/>
      <c r="E292" s="58"/>
    </row>
    <row r="293">
      <c r="A293" s="57"/>
      <c r="B293" s="58"/>
      <c r="C293" s="59"/>
      <c r="D293" s="60"/>
      <c r="E293" s="58"/>
    </row>
    <row r="294">
      <c r="A294" s="57"/>
      <c r="B294" s="58"/>
      <c r="C294" s="59"/>
      <c r="D294" s="60"/>
      <c r="E294" s="58"/>
    </row>
    <row r="295">
      <c r="A295" s="57"/>
      <c r="B295" s="58"/>
      <c r="C295" s="59"/>
      <c r="D295" s="60"/>
      <c r="E295" s="58"/>
    </row>
    <row r="296">
      <c r="A296" s="57"/>
      <c r="B296" s="58"/>
      <c r="C296" s="59"/>
      <c r="D296" s="60"/>
      <c r="E296" s="58"/>
    </row>
    <row r="297">
      <c r="A297" s="57"/>
      <c r="B297" s="58"/>
      <c r="C297" s="59"/>
      <c r="D297" s="60"/>
      <c r="E297" s="58"/>
    </row>
    <row r="298">
      <c r="A298" s="57"/>
      <c r="B298" s="58"/>
      <c r="C298" s="59"/>
      <c r="D298" s="60"/>
      <c r="E298" s="58"/>
    </row>
    <row r="299">
      <c r="A299" s="57"/>
      <c r="B299" s="58"/>
      <c r="C299" s="59"/>
      <c r="D299" s="60"/>
      <c r="E299" s="58"/>
    </row>
    <row r="300">
      <c r="A300" s="57"/>
      <c r="B300" s="58"/>
      <c r="C300" s="59"/>
      <c r="D300" s="60"/>
      <c r="E300" s="58"/>
    </row>
    <row r="301">
      <c r="A301" s="57"/>
      <c r="B301" s="58"/>
      <c r="C301" s="59"/>
      <c r="D301" s="60"/>
      <c r="E301" s="58"/>
    </row>
    <row r="302">
      <c r="A302" s="57"/>
      <c r="B302" s="58"/>
      <c r="C302" s="59"/>
      <c r="D302" s="60"/>
      <c r="E302" s="58"/>
    </row>
    <row r="303">
      <c r="A303" s="57"/>
      <c r="B303" s="58"/>
      <c r="C303" s="59"/>
      <c r="D303" s="60"/>
      <c r="E303" s="58"/>
    </row>
    <row r="304">
      <c r="A304" s="57"/>
      <c r="B304" s="58"/>
      <c r="C304" s="59"/>
      <c r="D304" s="60"/>
      <c r="E304" s="58"/>
    </row>
    <row r="305">
      <c r="A305" s="57"/>
      <c r="B305" s="58"/>
      <c r="C305" s="59"/>
      <c r="D305" s="60"/>
      <c r="E305" s="58"/>
    </row>
    <row r="306">
      <c r="A306" s="57"/>
      <c r="B306" s="58"/>
      <c r="C306" s="59"/>
      <c r="D306" s="60"/>
      <c r="E306" s="58"/>
    </row>
    <row r="307">
      <c r="A307" s="57"/>
      <c r="B307" s="58"/>
      <c r="C307" s="59"/>
      <c r="D307" s="60"/>
      <c r="E307" s="58"/>
    </row>
    <row r="308">
      <c r="A308" s="57"/>
      <c r="B308" s="58"/>
      <c r="C308" s="59"/>
      <c r="D308" s="60"/>
      <c r="E308" s="58"/>
    </row>
    <row r="309">
      <c r="A309" s="57"/>
      <c r="B309" s="58"/>
      <c r="C309" s="59"/>
      <c r="D309" s="60"/>
      <c r="E309" s="58"/>
    </row>
    <row r="310">
      <c r="A310" s="57"/>
      <c r="B310" s="58"/>
      <c r="D310" s="59"/>
      <c r="E310" s="58"/>
    </row>
    <row r="311">
      <c r="A311" s="57"/>
      <c r="B311" s="58"/>
      <c r="D311" s="59"/>
      <c r="E311" s="58"/>
    </row>
    <row r="312">
      <c r="A312" s="57"/>
      <c r="B312" s="58"/>
      <c r="C312" s="59"/>
      <c r="D312" s="60"/>
      <c r="E312" s="58"/>
    </row>
    <row r="313">
      <c r="A313" s="57"/>
      <c r="B313" s="58"/>
      <c r="C313" s="59"/>
      <c r="D313" s="60"/>
      <c r="E313" s="58"/>
    </row>
    <row r="314">
      <c r="A314" s="57"/>
      <c r="B314" s="58"/>
      <c r="C314" s="59"/>
      <c r="D314" s="60"/>
      <c r="E314" s="58"/>
    </row>
    <row r="315">
      <c r="A315" s="57"/>
      <c r="B315" s="58"/>
      <c r="C315" s="59"/>
      <c r="D315" s="60"/>
      <c r="E315" s="58"/>
    </row>
    <row r="316">
      <c r="A316" s="57"/>
      <c r="B316" s="58"/>
      <c r="C316" s="59"/>
      <c r="D316" s="60"/>
      <c r="E316" s="58"/>
    </row>
    <row r="317">
      <c r="A317" s="57"/>
      <c r="B317" s="58"/>
      <c r="C317" s="59"/>
      <c r="D317" s="60"/>
      <c r="E317" s="58"/>
    </row>
    <row r="318">
      <c r="A318" s="57"/>
      <c r="B318" s="58"/>
      <c r="C318" s="59"/>
      <c r="D318" s="60"/>
      <c r="E318" s="58"/>
    </row>
    <row r="319">
      <c r="A319" s="57"/>
      <c r="B319" s="58"/>
      <c r="D319" s="59"/>
      <c r="E319" s="58"/>
    </row>
    <row r="320">
      <c r="A320" s="57"/>
      <c r="B320" s="58"/>
      <c r="D320" s="59"/>
      <c r="E320" s="58"/>
    </row>
    <row r="321">
      <c r="A321" s="57"/>
      <c r="B321" s="58"/>
      <c r="C321" s="59"/>
      <c r="D321" s="60"/>
      <c r="E321" s="58"/>
    </row>
    <row r="322">
      <c r="A322" s="57"/>
      <c r="B322" s="58"/>
      <c r="C322" s="59"/>
      <c r="D322" s="60"/>
      <c r="E322" s="58"/>
    </row>
    <row r="323">
      <c r="A323" s="57"/>
      <c r="B323" s="58"/>
      <c r="D323" s="59"/>
      <c r="E323" s="58"/>
    </row>
    <row r="324">
      <c r="A324" s="57"/>
      <c r="B324" s="58"/>
      <c r="C324" s="59"/>
      <c r="D324" s="60"/>
      <c r="E324" s="58"/>
    </row>
    <row r="325">
      <c r="A325" s="57"/>
      <c r="B325" s="58"/>
      <c r="C325" s="59"/>
      <c r="D325" s="60"/>
      <c r="E325" s="58"/>
    </row>
    <row r="326">
      <c r="A326" s="57"/>
      <c r="B326" s="58"/>
      <c r="C326" s="59"/>
      <c r="D326" s="60"/>
      <c r="E326" s="58"/>
    </row>
    <row r="327">
      <c r="A327" s="57"/>
      <c r="B327" s="58"/>
      <c r="C327" s="59"/>
      <c r="D327" s="60"/>
      <c r="E327" s="58"/>
    </row>
    <row r="328">
      <c r="A328" s="57"/>
      <c r="B328" s="58"/>
      <c r="C328" s="59"/>
      <c r="D328" s="60"/>
      <c r="E328" s="58"/>
    </row>
    <row r="329">
      <c r="A329" s="57"/>
      <c r="B329" s="58"/>
      <c r="D329" s="59"/>
      <c r="E329" s="58"/>
    </row>
    <row r="330">
      <c r="A330" s="57"/>
      <c r="B330" s="58"/>
      <c r="C330" s="59"/>
      <c r="D330" s="60"/>
      <c r="E330" s="58"/>
    </row>
    <row r="331">
      <c r="A331" s="57"/>
      <c r="B331" s="58"/>
      <c r="C331" s="59"/>
      <c r="D331" s="60"/>
      <c r="E331" s="58"/>
    </row>
    <row r="332">
      <c r="A332" s="57"/>
      <c r="B332" s="58"/>
      <c r="C332" s="59"/>
      <c r="D332" s="60"/>
      <c r="E332" s="58"/>
    </row>
    <row r="333">
      <c r="A333" s="57"/>
      <c r="B333" s="58"/>
      <c r="C333" s="59"/>
      <c r="D333" s="60"/>
      <c r="E333" s="58"/>
    </row>
    <row r="334">
      <c r="A334" s="57"/>
      <c r="B334" s="58"/>
      <c r="C334" s="59"/>
      <c r="D334" s="60"/>
      <c r="E334" s="58"/>
    </row>
    <row r="335">
      <c r="A335" s="57"/>
      <c r="B335" s="58"/>
      <c r="D335" s="59"/>
      <c r="E335" s="58"/>
    </row>
    <row r="336">
      <c r="A336" s="57"/>
      <c r="B336" s="58"/>
      <c r="C336" s="59"/>
      <c r="D336" s="60"/>
      <c r="E336" s="58"/>
    </row>
    <row r="337">
      <c r="A337" s="57"/>
      <c r="B337" s="58"/>
      <c r="D337" s="59"/>
      <c r="E337" s="58"/>
    </row>
    <row r="338">
      <c r="A338" s="57"/>
      <c r="B338" s="58"/>
      <c r="C338" s="59"/>
      <c r="D338" s="60"/>
      <c r="E338" s="58"/>
    </row>
    <row r="339">
      <c r="A339" s="57"/>
      <c r="B339" s="58"/>
      <c r="C339" s="59"/>
      <c r="D339" s="60"/>
      <c r="E339" s="58"/>
    </row>
    <row r="340">
      <c r="A340" s="57"/>
      <c r="B340" s="58"/>
      <c r="C340" s="59"/>
      <c r="D340" s="60"/>
      <c r="E340" s="58"/>
    </row>
    <row r="341">
      <c r="A341" s="57"/>
      <c r="B341" s="58"/>
      <c r="C341" s="59"/>
      <c r="D341" s="60"/>
      <c r="E341" s="58"/>
    </row>
    <row r="342">
      <c r="A342" s="57"/>
      <c r="B342" s="58"/>
      <c r="D342" s="59"/>
      <c r="E342" s="58"/>
    </row>
    <row r="343">
      <c r="A343" s="57"/>
      <c r="B343" s="58"/>
      <c r="D343" s="59"/>
      <c r="E343" s="58"/>
    </row>
    <row r="344">
      <c r="A344" s="57"/>
      <c r="B344" s="58"/>
      <c r="C344" s="59"/>
      <c r="D344" s="60"/>
      <c r="E344" s="58"/>
    </row>
    <row r="345">
      <c r="A345" s="57"/>
      <c r="B345" s="58"/>
      <c r="C345" s="59"/>
      <c r="D345" s="60"/>
      <c r="E345" s="58"/>
    </row>
    <row r="346">
      <c r="A346" s="57"/>
      <c r="B346" s="58"/>
      <c r="C346" s="59"/>
      <c r="D346" s="60"/>
      <c r="E346" s="58"/>
    </row>
    <row r="347">
      <c r="A347" s="57"/>
      <c r="B347" s="58"/>
      <c r="C347" s="59"/>
      <c r="D347" s="60"/>
      <c r="E347" s="58"/>
    </row>
    <row r="348">
      <c r="A348" s="57"/>
      <c r="B348" s="58"/>
      <c r="C348" s="59"/>
      <c r="D348" s="60"/>
      <c r="E348" s="58"/>
    </row>
    <row r="349">
      <c r="A349" s="57"/>
      <c r="B349" s="58"/>
      <c r="C349" s="59"/>
      <c r="D349" s="60"/>
      <c r="E349" s="58"/>
    </row>
    <row r="350">
      <c r="A350" s="57"/>
      <c r="B350" s="58"/>
      <c r="D350" s="59"/>
      <c r="E350" s="58"/>
    </row>
    <row r="351">
      <c r="A351" s="57"/>
      <c r="B351" s="58"/>
      <c r="C351" s="59"/>
      <c r="D351" s="60"/>
      <c r="E351" s="58"/>
    </row>
    <row r="352">
      <c r="A352" s="57"/>
      <c r="B352" s="58"/>
      <c r="D352" s="59"/>
      <c r="E352" s="58"/>
    </row>
    <row r="353">
      <c r="A353" s="57"/>
      <c r="B353" s="58"/>
      <c r="C353" s="59"/>
      <c r="D353" s="60"/>
      <c r="E353" s="58"/>
    </row>
    <row r="354">
      <c r="A354" s="57"/>
      <c r="B354" s="58"/>
      <c r="C354" s="59"/>
      <c r="D354" s="60"/>
      <c r="E354" s="58"/>
    </row>
    <row r="355">
      <c r="A355" s="57"/>
      <c r="B355" s="58"/>
      <c r="C355" s="59"/>
      <c r="D355" s="60"/>
      <c r="E355" s="58"/>
    </row>
    <row r="356">
      <c r="A356" s="57"/>
      <c r="B356" s="58"/>
      <c r="D356" s="59"/>
      <c r="E356" s="58"/>
    </row>
    <row r="357">
      <c r="A357" s="57"/>
      <c r="B357" s="58"/>
      <c r="D357" s="59"/>
      <c r="E357" s="58"/>
    </row>
    <row r="358">
      <c r="A358" s="57"/>
      <c r="B358" s="58"/>
      <c r="C358" s="59"/>
      <c r="D358" s="60"/>
      <c r="E358" s="58"/>
    </row>
    <row r="359">
      <c r="A359" s="57"/>
      <c r="B359" s="58"/>
      <c r="D359" s="59"/>
      <c r="E359" s="58"/>
    </row>
    <row r="360">
      <c r="A360" s="57"/>
      <c r="B360" s="58"/>
      <c r="C360" s="59"/>
      <c r="D360" s="60"/>
      <c r="E360" s="58"/>
    </row>
    <row r="361">
      <c r="A361" s="57"/>
      <c r="B361" s="58"/>
      <c r="C361" s="59"/>
      <c r="D361" s="60"/>
      <c r="E361" s="58"/>
    </row>
    <row r="362">
      <c r="A362" s="57"/>
      <c r="B362" s="58"/>
      <c r="D362" s="59"/>
      <c r="E362" s="58"/>
    </row>
    <row r="363">
      <c r="A363" s="57"/>
      <c r="B363" s="58"/>
      <c r="C363" s="59"/>
      <c r="D363" s="60"/>
      <c r="E363" s="58"/>
    </row>
    <row r="364">
      <c r="A364" s="57"/>
      <c r="B364" s="58"/>
      <c r="C364" s="59"/>
      <c r="D364" s="60"/>
      <c r="E364" s="58"/>
    </row>
    <row r="365">
      <c r="A365" s="57"/>
      <c r="B365" s="58"/>
      <c r="D365" s="59"/>
      <c r="E365" s="58"/>
    </row>
    <row r="366">
      <c r="A366" s="57"/>
      <c r="B366" s="58"/>
      <c r="D366" s="59"/>
      <c r="E366" s="58"/>
    </row>
    <row r="367">
      <c r="A367" s="57"/>
      <c r="B367" s="58"/>
      <c r="C367" s="59"/>
      <c r="D367" s="60"/>
      <c r="E367" s="58"/>
    </row>
    <row r="368">
      <c r="A368" s="57"/>
      <c r="B368" s="58"/>
      <c r="D368" s="59"/>
      <c r="E368" s="58"/>
    </row>
    <row r="369">
      <c r="A369" s="57"/>
      <c r="B369" s="58"/>
      <c r="C369" s="59"/>
      <c r="D369" s="60"/>
      <c r="E369" s="58"/>
    </row>
    <row r="370">
      <c r="A370" s="57"/>
      <c r="B370" s="58"/>
      <c r="C370" s="59"/>
      <c r="D370" s="60"/>
      <c r="E370" s="58"/>
    </row>
    <row r="371">
      <c r="A371" s="57"/>
      <c r="B371" s="58"/>
      <c r="D371" s="59"/>
      <c r="E371" s="58"/>
    </row>
    <row r="372">
      <c r="A372" s="57"/>
      <c r="B372" s="58"/>
      <c r="C372" s="59"/>
      <c r="D372" s="60"/>
      <c r="E372" s="58"/>
    </row>
    <row r="373">
      <c r="A373" s="57"/>
      <c r="B373" s="58"/>
      <c r="D373" s="59"/>
      <c r="E373" s="58"/>
    </row>
    <row r="374">
      <c r="A374" s="57"/>
      <c r="B374" s="58"/>
      <c r="C374" s="59"/>
      <c r="D374" s="60"/>
      <c r="E374" s="58"/>
    </row>
    <row r="375">
      <c r="A375" s="57"/>
      <c r="B375" s="58"/>
      <c r="D375" s="59"/>
      <c r="E375" s="58"/>
    </row>
    <row r="376">
      <c r="A376" s="57"/>
      <c r="B376" s="58"/>
      <c r="D376" s="59"/>
      <c r="E376" s="58"/>
    </row>
    <row r="377">
      <c r="A377" s="57"/>
      <c r="B377" s="58"/>
      <c r="C377" s="59"/>
      <c r="D377" s="60"/>
      <c r="E377" s="58"/>
    </row>
    <row r="378">
      <c r="A378" s="57"/>
      <c r="B378" s="58"/>
      <c r="C378" s="59"/>
      <c r="D378" s="60"/>
      <c r="E378" s="58"/>
    </row>
    <row r="379">
      <c r="A379" s="57"/>
      <c r="B379" s="58"/>
      <c r="C379" s="59"/>
      <c r="D379" s="60"/>
      <c r="E379" s="58"/>
    </row>
    <row r="380">
      <c r="A380" s="57"/>
      <c r="B380" s="58"/>
      <c r="C380" s="59"/>
      <c r="D380" s="60"/>
      <c r="E380" s="58"/>
    </row>
    <row r="381">
      <c r="A381" s="57"/>
      <c r="B381" s="58"/>
      <c r="C381" s="59"/>
      <c r="D381" s="60"/>
      <c r="E381" s="58"/>
    </row>
    <row r="382">
      <c r="A382" s="57"/>
      <c r="B382" s="58"/>
      <c r="C382" s="59"/>
      <c r="D382" s="60"/>
      <c r="E382" s="58"/>
    </row>
    <row r="383">
      <c r="A383" s="57"/>
      <c r="B383" s="58"/>
      <c r="C383" s="59"/>
      <c r="D383" s="60"/>
      <c r="E383" s="58"/>
    </row>
    <row r="384">
      <c r="A384" s="57"/>
      <c r="B384" s="58"/>
      <c r="C384" s="59"/>
      <c r="D384" s="60"/>
      <c r="E384" s="58"/>
    </row>
    <row r="385">
      <c r="A385" s="57"/>
      <c r="B385" s="58"/>
      <c r="C385" s="59"/>
      <c r="D385" s="60"/>
      <c r="E385" s="58"/>
    </row>
    <row r="386">
      <c r="A386" s="57"/>
      <c r="B386" s="58"/>
      <c r="C386" s="59"/>
      <c r="D386" s="60"/>
      <c r="E386" s="58"/>
    </row>
    <row r="387">
      <c r="A387" s="57"/>
      <c r="B387" s="58"/>
      <c r="C387" s="59"/>
      <c r="D387" s="60"/>
      <c r="E387" s="58"/>
    </row>
    <row r="388">
      <c r="A388" s="57"/>
      <c r="B388" s="58"/>
      <c r="C388" s="59"/>
      <c r="D388" s="60"/>
      <c r="E388" s="58"/>
    </row>
    <row r="389">
      <c r="A389" s="57"/>
      <c r="B389" s="58"/>
      <c r="D389" s="59"/>
      <c r="E389" s="58"/>
    </row>
    <row r="390">
      <c r="A390" s="57"/>
      <c r="B390" s="58"/>
      <c r="C390" s="59"/>
      <c r="D390" s="60"/>
      <c r="E390" s="58"/>
    </row>
    <row r="391">
      <c r="A391" s="57"/>
      <c r="B391" s="58"/>
      <c r="D391" s="59"/>
      <c r="E391" s="58"/>
    </row>
    <row r="392">
      <c r="A392" s="57"/>
      <c r="B392" s="58"/>
      <c r="C392" s="59"/>
      <c r="D392" s="60"/>
      <c r="E392" s="58"/>
    </row>
    <row r="393">
      <c r="A393" s="57"/>
      <c r="B393" s="58"/>
      <c r="C393" s="59"/>
      <c r="D393" s="60"/>
      <c r="E393" s="58"/>
    </row>
    <row r="394">
      <c r="A394" s="57"/>
      <c r="B394" s="58"/>
      <c r="C394" s="59"/>
      <c r="D394" s="60"/>
      <c r="E394" s="58"/>
    </row>
    <row r="395">
      <c r="A395" s="57"/>
      <c r="B395" s="58"/>
      <c r="C395" s="59"/>
      <c r="D395" s="60"/>
      <c r="E395" s="58"/>
    </row>
    <row r="396">
      <c r="A396" s="57"/>
      <c r="B396" s="58"/>
      <c r="C396" s="59"/>
      <c r="D396" s="60"/>
      <c r="E396" s="58"/>
    </row>
    <row r="397">
      <c r="A397" s="57"/>
      <c r="B397" s="58"/>
      <c r="D397" s="59"/>
      <c r="E397" s="58"/>
    </row>
    <row r="398">
      <c r="A398" s="57"/>
      <c r="B398" s="58"/>
      <c r="D398" s="59"/>
      <c r="E398" s="58"/>
    </row>
    <row r="399">
      <c r="A399" s="57"/>
      <c r="B399" s="58"/>
      <c r="C399" s="59"/>
      <c r="D399" s="60"/>
      <c r="E399" s="58"/>
    </row>
    <row r="400">
      <c r="A400" s="57"/>
      <c r="B400" s="58"/>
      <c r="C400" s="59"/>
      <c r="D400" s="60"/>
      <c r="E400" s="58"/>
    </row>
    <row r="401">
      <c r="A401" s="57"/>
      <c r="B401" s="58"/>
      <c r="C401" s="59"/>
      <c r="D401" s="60"/>
      <c r="E401" s="58"/>
    </row>
    <row r="402">
      <c r="A402" s="57"/>
      <c r="B402" s="58"/>
      <c r="C402" s="59"/>
      <c r="D402" s="60"/>
      <c r="E402" s="58"/>
    </row>
    <row r="403">
      <c r="A403" s="57"/>
      <c r="B403" s="58"/>
      <c r="C403" s="59"/>
      <c r="D403" s="60"/>
      <c r="E403" s="58"/>
    </row>
    <row r="404">
      <c r="A404" s="57"/>
      <c r="B404" s="58"/>
      <c r="D404" s="59"/>
      <c r="E404" s="58"/>
    </row>
    <row r="405">
      <c r="A405" s="57"/>
      <c r="B405" s="58"/>
      <c r="D405" s="59"/>
      <c r="E405" s="58"/>
    </row>
    <row r="406">
      <c r="A406" s="57"/>
      <c r="B406" s="58"/>
      <c r="D406" s="59"/>
      <c r="E406" s="58"/>
    </row>
    <row r="407">
      <c r="A407" s="57"/>
      <c r="B407" s="58"/>
      <c r="C407" s="59"/>
      <c r="D407" s="60"/>
      <c r="E407" s="58"/>
    </row>
    <row r="408">
      <c r="A408" s="57"/>
      <c r="B408" s="58"/>
      <c r="C408" s="59"/>
      <c r="D408" s="60"/>
      <c r="E408" s="58"/>
    </row>
    <row r="409">
      <c r="A409" s="57"/>
      <c r="B409" s="58"/>
      <c r="C409" s="59"/>
      <c r="D409" s="60"/>
      <c r="E409" s="58"/>
    </row>
    <row r="410">
      <c r="A410" s="57"/>
      <c r="B410" s="58"/>
      <c r="C410" s="59"/>
      <c r="D410" s="60"/>
      <c r="E410" s="58"/>
    </row>
    <row r="411">
      <c r="A411" s="57"/>
      <c r="B411" s="58"/>
      <c r="D411" s="59"/>
      <c r="E411" s="58"/>
    </row>
    <row r="412">
      <c r="A412" s="57"/>
      <c r="B412" s="58"/>
      <c r="C412" s="59"/>
      <c r="D412" s="60"/>
      <c r="E412" s="58"/>
    </row>
    <row r="413">
      <c r="A413" s="57"/>
      <c r="B413" s="58"/>
      <c r="C413" s="59"/>
      <c r="D413" s="60"/>
      <c r="E413" s="58"/>
    </row>
    <row r="414">
      <c r="A414" s="57"/>
      <c r="B414" s="58"/>
      <c r="C414" s="59"/>
      <c r="D414" s="60"/>
      <c r="E414" s="58"/>
    </row>
    <row r="415">
      <c r="A415" s="57"/>
      <c r="B415" s="58"/>
      <c r="C415" s="59"/>
      <c r="D415" s="60"/>
      <c r="E415" s="58"/>
    </row>
    <row r="416">
      <c r="A416" s="57"/>
      <c r="B416" s="58"/>
      <c r="C416" s="59"/>
      <c r="D416" s="60"/>
      <c r="E416" s="58"/>
    </row>
    <row r="417">
      <c r="A417" s="57"/>
      <c r="B417" s="58"/>
      <c r="C417" s="59"/>
      <c r="D417" s="60"/>
      <c r="E417" s="58"/>
    </row>
    <row r="418">
      <c r="A418" s="57"/>
      <c r="B418" s="58"/>
      <c r="C418" s="59"/>
      <c r="D418" s="60"/>
      <c r="E418" s="58"/>
    </row>
    <row r="419">
      <c r="A419" s="57"/>
      <c r="B419" s="58"/>
      <c r="C419" s="59"/>
      <c r="D419" s="60"/>
      <c r="E419" s="58"/>
    </row>
    <row r="420">
      <c r="A420" s="57"/>
      <c r="B420" s="58"/>
      <c r="C420" s="59"/>
      <c r="D420" s="60"/>
      <c r="E420" s="58"/>
    </row>
    <row r="421">
      <c r="A421" s="57"/>
      <c r="B421" s="58"/>
      <c r="C421" s="59"/>
      <c r="D421" s="60"/>
      <c r="E421" s="58"/>
    </row>
    <row r="422">
      <c r="A422" s="57"/>
      <c r="B422" s="58"/>
      <c r="C422" s="59"/>
      <c r="D422" s="60"/>
      <c r="E422" s="58"/>
    </row>
    <row r="423">
      <c r="A423" s="57"/>
      <c r="B423" s="58"/>
      <c r="C423" s="59"/>
      <c r="D423" s="60"/>
      <c r="E423" s="58"/>
    </row>
    <row r="424">
      <c r="A424" s="57"/>
      <c r="B424" s="58"/>
      <c r="C424" s="59"/>
      <c r="D424" s="60"/>
      <c r="E424" s="58"/>
    </row>
    <row r="425">
      <c r="A425" s="57"/>
      <c r="B425" s="58"/>
      <c r="D425" s="59"/>
      <c r="E425" s="58"/>
    </row>
    <row r="426">
      <c r="A426" s="57"/>
      <c r="B426" s="58"/>
      <c r="D426" s="59"/>
      <c r="E426" s="58"/>
    </row>
    <row r="427">
      <c r="A427" s="57"/>
      <c r="B427" s="58"/>
      <c r="C427" s="59"/>
      <c r="D427" s="60"/>
      <c r="E427" s="58"/>
    </row>
    <row r="428">
      <c r="A428" s="57"/>
      <c r="B428" s="58"/>
      <c r="C428" s="59"/>
      <c r="D428" s="60"/>
      <c r="E428" s="58"/>
    </row>
    <row r="429">
      <c r="A429" s="57"/>
      <c r="B429" s="58"/>
      <c r="C429" s="59"/>
      <c r="D429" s="60"/>
      <c r="E429" s="58"/>
    </row>
    <row r="430">
      <c r="A430" s="57"/>
      <c r="B430" s="58"/>
      <c r="C430" s="59"/>
      <c r="D430" s="60"/>
      <c r="E430" s="58"/>
    </row>
    <row r="431">
      <c r="A431" s="57"/>
      <c r="B431" s="58"/>
      <c r="C431" s="59"/>
      <c r="D431" s="60"/>
      <c r="E431" s="58"/>
    </row>
    <row r="432">
      <c r="A432" s="57"/>
      <c r="B432" s="58"/>
      <c r="C432" s="59"/>
      <c r="D432" s="60"/>
      <c r="E432" s="58"/>
    </row>
    <row r="433">
      <c r="A433" s="57"/>
      <c r="B433" s="58"/>
      <c r="D433" s="59"/>
      <c r="E433" s="58"/>
    </row>
    <row r="434">
      <c r="A434" s="57"/>
      <c r="B434" s="58"/>
      <c r="C434" s="59"/>
      <c r="D434" s="60"/>
      <c r="E434" s="58"/>
    </row>
    <row r="435">
      <c r="A435" s="57"/>
      <c r="B435" s="58"/>
      <c r="D435" s="59"/>
      <c r="E435" s="58"/>
    </row>
    <row r="436">
      <c r="A436" s="57"/>
      <c r="B436" s="58"/>
      <c r="C436" s="59"/>
      <c r="D436" s="60"/>
      <c r="E436" s="58"/>
    </row>
    <row r="437">
      <c r="A437" s="57"/>
      <c r="B437" s="58"/>
      <c r="C437" s="59"/>
      <c r="D437" s="60"/>
      <c r="E437" s="58"/>
    </row>
    <row r="438">
      <c r="A438" s="57"/>
      <c r="B438" s="58"/>
      <c r="D438" s="59"/>
      <c r="E438" s="58"/>
    </row>
    <row r="439">
      <c r="A439" s="57"/>
      <c r="B439" s="58"/>
      <c r="D439" s="59"/>
      <c r="E439" s="58"/>
    </row>
    <row r="440">
      <c r="A440" s="57"/>
      <c r="B440" s="58"/>
      <c r="C440" s="59"/>
      <c r="D440" s="60"/>
      <c r="E440" s="58"/>
    </row>
    <row r="441">
      <c r="A441" s="57"/>
      <c r="B441" s="58"/>
      <c r="C441" s="59"/>
      <c r="D441" s="60"/>
      <c r="E441" s="58"/>
    </row>
    <row r="442">
      <c r="A442" s="57"/>
      <c r="B442" s="58"/>
      <c r="C442" s="59"/>
      <c r="D442" s="60"/>
      <c r="E442" s="58"/>
    </row>
    <row r="443">
      <c r="A443" s="57"/>
      <c r="B443" s="58"/>
      <c r="C443" s="59"/>
      <c r="D443" s="60"/>
      <c r="E443" s="58"/>
    </row>
    <row r="444">
      <c r="A444" s="57"/>
      <c r="B444" s="58"/>
      <c r="D444" s="59"/>
      <c r="E444" s="58"/>
    </row>
    <row r="445">
      <c r="A445" s="57"/>
      <c r="B445" s="58"/>
      <c r="C445" s="59"/>
      <c r="D445" s="60"/>
      <c r="E445" s="58"/>
    </row>
    <row r="446">
      <c r="A446" s="57"/>
      <c r="B446" s="58"/>
      <c r="C446" s="59"/>
      <c r="D446" s="60"/>
      <c r="E446" s="58"/>
    </row>
    <row r="447">
      <c r="A447" s="57"/>
      <c r="B447" s="58"/>
      <c r="C447" s="59"/>
      <c r="D447" s="60"/>
      <c r="E447" s="58"/>
    </row>
    <row r="448">
      <c r="A448" s="57"/>
      <c r="B448" s="58"/>
      <c r="D448" s="59"/>
      <c r="E448" s="58"/>
    </row>
    <row r="449">
      <c r="A449" s="57"/>
      <c r="B449" s="58"/>
      <c r="D449" s="59"/>
      <c r="E449" s="58"/>
    </row>
    <row r="450">
      <c r="A450" s="57"/>
      <c r="B450" s="58"/>
      <c r="D450" s="59"/>
      <c r="E450" s="58"/>
    </row>
    <row r="451">
      <c r="A451" s="57"/>
      <c r="B451" s="58"/>
      <c r="C451" s="59"/>
      <c r="D451" s="60"/>
      <c r="E451" s="58"/>
    </row>
    <row r="452">
      <c r="A452" s="57"/>
      <c r="B452" s="58"/>
      <c r="C452" s="59"/>
      <c r="D452" s="60"/>
      <c r="E452" s="58"/>
    </row>
    <row r="453">
      <c r="A453" s="57"/>
      <c r="B453" s="58"/>
      <c r="C453" s="59"/>
      <c r="D453" s="60"/>
      <c r="E453" s="58"/>
    </row>
    <row r="454">
      <c r="A454" s="57"/>
      <c r="B454" s="58"/>
      <c r="C454" s="59"/>
      <c r="D454" s="60"/>
      <c r="E454" s="58"/>
    </row>
    <row r="455">
      <c r="A455" s="57"/>
      <c r="B455" s="58"/>
      <c r="C455" s="59"/>
      <c r="D455" s="60"/>
      <c r="E455" s="58"/>
    </row>
    <row r="456">
      <c r="A456" s="57"/>
      <c r="B456" s="58"/>
      <c r="D456" s="59"/>
      <c r="E456" s="58"/>
    </row>
    <row r="457">
      <c r="A457" s="57"/>
      <c r="B457" s="58"/>
      <c r="D457" s="59"/>
      <c r="E457" s="58"/>
    </row>
    <row r="458">
      <c r="A458" s="57"/>
      <c r="B458" s="58"/>
      <c r="C458" s="59"/>
      <c r="D458" s="60"/>
      <c r="E458" s="58"/>
    </row>
    <row r="459">
      <c r="A459" s="57"/>
      <c r="B459" s="58"/>
      <c r="D459" s="59"/>
      <c r="E459" s="58"/>
    </row>
    <row r="460">
      <c r="A460" s="57"/>
      <c r="B460" s="58"/>
      <c r="C460" s="59"/>
      <c r="D460" s="60"/>
      <c r="E460" s="58"/>
    </row>
    <row r="461">
      <c r="A461" s="57"/>
      <c r="B461" s="58"/>
      <c r="C461" s="59"/>
      <c r="D461" s="60"/>
      <c r="E461" s="58"/>
    </row>
    <row r="462">
      <c r="A462" s="57"/>
      <c r="B462" s="58"/>
      <c r="D462" s="59"/>
      <c r="E462" s="58"/>
    </row>
    <row r="463">
      <c r="A463" s="57"/>
      <c r="B463" s="58"/>
      <c r="C463" s="59"/>
      <c r="D463" s="60"/>
      <c r="E463" s="58"/>
    </row>
    <row r="464">
      <c r="A464" s="57"/>
      <c r="B464" s="58"/>
      <c r="D464" s="59"/>
      <c r="E464" s="58"/>
    </row>
    <row r="465">
      <c r="A465" s="57"/>
      <c r="B465" s="58"/>
      <c r="C465" s="59"/>
      <c r="D465" s="60"/>
      <c r="E465" s="58"/>
    </row>
    <row r="466">
      <c r="A466" s="57"/>
      <c r="B466" s="58"/>
      <c r="C466" s="59"/>
      <c r="D466" s="60"/>
      <c r="E466" s="58"/>
    </row>
    <row r="467">
      <c r="A467" s="57"/>
      <c r="B467" s="58"/>
      <c r="D467" s="59"/>
      <c r="E467" s="58"/>
    </row>
    <row r="468">
      <c r="A468" s="57"/>
      <c r="B468" s="58"/>
      <c r="D468" s="59"/>
      <c r="E468" s="58"/>
    </row>
    <row r="469">
      <c r="A469" s="57"/>
      <c r="B469" s="58"/>
      <c r="D469" s="59"/>
      <c r="E469" s="58"/>
    </row>
    <row r="470">
      <c r="A470" s="57"/>
      <c r="B470" s="58"/>
      <c r="C470" s="59"/>
      <c r="D470" s="60"/>
      <c r="E470" s="58"/>
    </row>
    <row r="471">
      <c r="A471" s="57"/>
      <c r="B471" s="58"/>
      <c r="C471" s="59"/>
      <c r="D471" s="60"/>
      <c r="E471" s="58"/>
    </row>
    <row r="472">
      <c r="A472" s="57"/>
      <c r="B472" s="58"/>
      <c r="C472" s="59"/>
      <c r="D472" s="60"/>
      <c r="E472" s="58"/>
    </row>
    <row r="473">
      <c r="A473" s="57"/>
      <c r="B473" s="58"/>
      <c r="D473" s="59"/>
      <c r="E473" s="58"/>
    </row>
    <row r="474">
      <c r="A474" s="57"/>
      <c r="B474" s="58"/>
      <c r="C474" s="59"/>
      <c r="D474" s="60"/>
      <c r="E474" s="58"/>
    </row>
    <row r="475">
      <c r="A475" s="57"/>
      <c r="B475" s="58"/>
      <c r="D475" s="59"/>
      <c r="E475" s="58"/>
    </row>
    <row r="476">
      <c r="A476" s="57"/>
      <c r="B476" s="58"/>
      <c r="D476" s="59"/>
      <c r="E476" s="58"/>
    </row>
    <row r="477">
      <c r="A477" s="57"/>
      <c r="B477" s="58"/>
      <c r="C477" s="59"/>
      <c r="D477" s="60"/>
      <c r="E477" s="58"/>
    </row>
    <row r="478">
      <c r="A478" s="57"/>
      <c r="B478" s="58"/>
      <c r="C478" s="59"/>
      <c r="D478" s="60"/>
      <c r="E478" s="58"/>
    </row>
    <row r="479">
      <c r="A479" s="57"/>
      <c r="B479" s="58"/>
      <c r="C479" s="59"/>
      <c r="D479" s="60"/>
      <c r="E479" s="58"/>
    </row>
    <row r="480">
      <c r="A480" s="57"/>
      <c r="B480" s="58"/>
      <c r="C480" s="59"/>
      <c r="D480" s="60"/>
      <c r="E480" s="58"/>
    </row>
    <row r="481">
      <c r="A481" s="57"/>
      <c r="B481" s="58"/>
      <c r="C481" s="59"/>
      <c r="D481" s="60"/>
      <c r="E481" s="58"/>
    </row>
    <row r="482">
      <c r="A482" s="57"/>
      <c r="B482" s="58"/>
      <c r="D482" s="59"/>
      <c r="E482" s="58"/>
    </row>
    <row r="483">
      <c r="A483" s="57"/>
      <c r="B483" s="58"/>
      <c r="D483" s="59"/>
      <c r="E483" s="58"/>
    </row>
    <row r="484">
      <c r="A484" s="57"/>
      <c r="B484" s="58"/>
      <c r="C484" s="59"/>
      <c r="D484" s="60"/>
      <c r="E484" s="58"/>
    </row>
    <row r="485">
      <c r="A485" s="57"/>
      <c r="B485" s="58"/>
      <c r="C485" s="59"/>
      <c r="D485" s="60"/>
      <c r="E485" s="58"/>
    </row>
    <row r="486">
      <c r="A486" s="57"/>
      <c r="B486" s="58"/>
      <c r="D486" s="59"/>
      <c r="E486" s="58"/>
    </row>
    <row r="487">
      <c r="A487" s="57"/>
      <c r="B487" s="58"/>
      <c r="C487" s="59"/>
      <c r="D487" s="60"/>
      <c r="E487" s="58"/>
    </row>
    <row r="488">
      <c r="A488" s="57"/>
      <c r="B488" s="58"/>
      <c r="C488" s="59"/>
      <c r="D488" s="60"/>
      <c r="E488" s="58"/>
    </row>
    <row r="489">
      <c r="A489" s="57"/>
      <c r="B489" s="58"/>
      <c r="C489" s="59"/>
      <c r="D489" s="60"/>
      <c r="E489" s="58"/>
    </row>
    <row r="490">
      <c r="A490" s="57"/>
      <c r="B490" s="58"/>
      <c r="D490" s="59"/>
      <c r="E490" s="58"/>
    </row>
    <row r="491">
      <c r="A491" s="57"/>
      <c r="B491" s="58"/>
      <c r="C491" s="59"/>
      <c r="D491" s="60"/>
      <c r="E491" s="58"/>
    </row>
    <row r="492">
      <c r="A492" s="57"/>
      <c r="B492" s="58"/>
      <c r="C492" s="59"/>
      <c r="D492" s="60"/>
      <c r="E492" s="58"/>
    </row>
    <row r="493">
      <c r="A493" s="57"/>
      <c r="B493" s="58"/>
      <c r="C493" s="59"/>
      <c r="D493" s="60"/>
      <c r="E493" s="58"/>
    </row>
    <row r="494">
      <c r="A494" s="57"/>
      <c r="B494" s="58"/>
      <c r="D494" s="59"/>
      <c r="E494" s="58"/>
    </row>
    <row r="495">
      <c r="A495" s="57"/>
      <c r="B495" s="58"/>
      <c r="D495" s="59"/>
      <c r="E495" s="58"/>
    </row>
    <row r="496">
      <c r="A496" s="57"/>
      <c r="B496" s="58"/>
      <c r="C496" s="59"/>
      <c r="D496" s="60"/>
      <c r="E496" s="58"/>
    </row>
    <row r="497">
      <c r="A497" s="57"/>
      <c r="B497" s="58"/>
      <c r="C497" s="59"/>
      <c r="D497" s="60"/>
      <c r="E497" s="58"/>
    </row>
    <row r="498">
      <c r="A498" s="57"/>
      <c r="B498" s="58"/>
      <c r="C498" s="59"/>
      <c r="D498" s="60"/>
      <c r="E498" s="58"/>
    </row>
    <row r="499">
      <c r="A499" s="57"/>
      <c r="B499" s="58"/>
      <c r="C499" s="59"/>
      <c r="D499" s="60"/>
      <c r="E499" s="58"/>
    </row>
    <row r="500">
      <c r="A500" s="57"/>
      <c r="B500" s="58"/>
      <c r="D500" s="59"/>
      <c r="E500" s="58"/>
    </row>
    <row r="501">
      <c r="A501" s="57"/>
      <c r="B501" s="58"/>
      <c r="C501" s="59"/>
      <c r="D501" s="60"/>
      <c r="E501" s="58"/>
    </row>
    <row r="502">
      <c r="A502" s="57"/>
      <c r="B502" s="58"/>
      <c r="D502" s="59"/>
      <c r="E502" s="58"/>
    </row>
    <row r="503">
      <c r="A503" s="57"/>
      <c r="B503" s="58"/>
      <c r="C503" s="59"/>
      <c r="D503" s="60"/>
      <c r="E503" s="58"/>
    </row>
    <row r="504">
      <c r="A504" s="57"/>
      <c r="B504" s="58"/>
      <c r="D504" s="59"/>
      <c r="E504" s="58"/>
    </row>
    <row r="505">
      <c r="A505" s="57"/>
      <c r="B505" s="58"/>
      <c r="C505" s="59"/>
      <c r="D505" s="60"/>
      <c r="E505" s="58"/>
    </row>
    <row r="506">
      <c r="A506" s="57"/>
      <c r="B506" s="58"/>
      <c r="D506" s="59"/>
      <c r="E506" s="58"/>
    </row>
    <row r="507">
      <c r="A507" s="57"/>
      <c r="B507" s="58"/>
      <c r="C507" s="59"/>
      <c r="D507" s="60"/>
      <c r="E507" s="58"/>
    </row>
    <row r="508">
      <c r="A508" s="57"/>
      <c r="B508" s="58"/>
      <c r="D508" s="59"/>
      <c r="E508" s="58"/>
    </row>
    <row r="509">
      <c r="A509" s="57"/>
      <c r="B509" s="58"/>
      <c r="C509" s="59"/>
      <c r="D509" s="60"/>
      <c r="E509" s="58"/>
    </row>
    <row r="510">
      <c r="A510" s="57"/>
      <c r="B510" s="58"/>
      <c r="C510" s="59"/>
      <c r="D510" s="60"/>
      <c r="E510" s="58"/>
    </row>
    <row r="511">
      <c r="A511" s="57"/>
      <c r="B511" s="58"/>
      <c r="C511" s="59"/>
      <c r="D511" s="60"/>
      <c r="E511" s="58"/>
    </row>
    <row r="512">
      <c r="A512" s="57"/>
      <c r="B512" s="58"/>
      <c r="D512" s="59"/>
      <c r="E512" s="58"/>
    </row>
    <row r="513">
      <c r="A513" s="57"/>
      <c r="B513" s="58"/>
      <c r="C513" s="59"/>
      <c r="D513" s="60"/>
      <c r="E513" s="58"/>
    </row>
    <row r="514">
      <c r="A514" s="57"/>
      <c r="B514" s="58"/>
      <c r="D514" s="59"/>
      <c r="E514" s="58"/>
    </row>
    <row r="515">
      <c r="A515" s="57"/>
      <c r="B515" s="58"/>
      <c r="C515" s="59"/>
      <c r="D515" s="60"/>
      <c r="E515" s="58"/>
    </row>
    <row r="516">
      <c r="A516" s="57"/>
      <c r="B516" s="58"/>
      <c r="C516" s="59"/>
      <c r="D516" s="60"/>
      <c r="E516" s="58"/>
    </row>
    <row r="517">
      <c r="A517" s="57"/>
      <c r="B517" s="58"/>
      <c r="D517" s="59"/>
      <c r="E517" s="58"/>
    </row>
    <row r="518">
      <c r="A518" s="57"/>
      <c r="B518" s="58"/>
      <c r="D518" s="59"/>
      <c r="E518" s="58"/>
    </row>
    <row r="519">
      <c r="A519" s="57"/>
      <c r="B519" s="58"/>
      <c r="C519" s="59"/>
      <c r="D519" s="60"/>
      <c r="E519" s="58"/>
    </row>
    <row r="520">
      <c r="A520" s="57"/>
      <c r="B520" s="58"/>
      <c r="C520" s="59"/>
      <c r="D520" s="60"/>
      <c r="E520" s="58"/>
    </row>
    <row r="521">
      <c r="A521" s="57"/>
      <c r="B521" s="58"/>
      <c r="C521" s="59"/>
      <c r="D521" s="60"/>
      <c r="E521" s="58"/>
    </row>
    <row r="522">
      <c r="A522" s="57"/>
      <c r="B522" s="58"/>
      <c r="D522" s="59"/>
      <c r="E522" s="58"/>
    </row>
    <row r="523">
      <c r="A523" s="57"/>
      <c r="B523" s="58"/>
      <c r="D523" s="59"/>
      <c r="E523" s="58"/>
    </row>
    <row r="524">
      <c r="A524" s="57"/>
      <c r="B524" s="58"/>
      <c r="C524" s="59"/>
      <c r="D524" s="60"/>
      <c r="E524" s="58"/>
    </row>
    <row r="525">
      <c r="A525" s="57"/>
      <c r="B525" s="58"/>
      <c r="D525" s="59"/>
      <c r="E525" s="58"/>
    </row>
    <row r="526">
      <c r="A526" s="57"/>
      <c r="B526" s="58"/>
      <c r="C526" s="59"/>
      <c r="D526" s="60"/>
      <c r="E526" s="58"/>
    </row>
    <row r="527">
      <c r="A527" s="57"/>
      <c r="B527" s="58"/>
      <c r="C527" s="59"/>
      <c r="D527" s="60"/>
      <c r="E527" s="58"/>
    </row>
    <row r="528">
      <c r="A528" s="57"/>
      <c r="B528" s="58"/>
      <c r="C528" s="59"/>
      <c r="D528" s="60"/>
      <c r="E528" s="58"/>
    </row>
    <row r="529">
      <c r="A529" s="57"/>
      <c r="B529" s="58"/>
      <c r="C529" s="59"/>
      <c r="D529" s="60"/>
      <c r="E529" s="58"/>
    </row>
    <row r="530">
      <c r="A530" s="57"/>
      <c r="B530" s="58"/>
      <c r="D530" s="59"/>
      <c r="E530" s="58"/>
    </row>
    <row r="531">
      <c r="A531" s="57"/>
      <c r="B531" s="58"/>
      <c r="D531" s="59"/>
      <c r="E531" s="58"/>
    </row>
    <row r="532">
      <c r="A532" s="57"/>
      <c r="B532" s="58"/>
      <c r="C532" s="59"/>
      <c r="D532" s="60"/>
      <c r="E532" s="58"/>
    </row>
    <row r="533">
      <c r="A533" s="57"/>
      <c r="B533" s="58"/>
      <c r="C533" s="59"/>
      <c r="D533" s="60"/>
      <c r="E533" s="58"/>
    </row>
    <row r="534">
      <c r="A534" s="57"/>
      <c r="B534" s="58"/>
      <c r="C534" s="59"/>
      <c r="D534" s="60"/>
      <c r="E534" s="58"/>
    </row>
    <row r="535">
      <c r="A535" s="57"/>
      <c r="B535" s="58"/>
      <c r="C535" s="59"/>
      <c r="D535" s="60"/>
      <c r="E535" s="58"/>
    </row>
    <row r="536">
      <c r="A536" s="57"/>
      <c r="B536" s="58"/>
      <c r="C536" s="59"/>
      <c r="D536" s="60"/>
      <c r="E536" s="58"/>
    </row>
    <row r="537">
      <c r="A537" s="57"/>
      <c r="B537" s="58"/>
      <c r="C537" s="59"/>
      <c r="D537" s="60"/>
      <c r="E537" s="58"/>
    </row>
    <row r="538">
      <c r="A538" s="57"/>
      <c r="B538" s="58"/>
      <c r="C538" s="59"/>
      <c r="D538" s="60"/>
      <c r="E538" s="58"/>
    </row>
    <row r="539">
      <c r="A539" s="57"/>
      <c r="B539" s="58"/>
      <c r="C539" s="59"/>
      <c r="D539" s="60"/>
      <c r="E539" s="58"/>
    </row>
    <row r="540">
      <c r="A540" s="57"/>
      <c r="B540" s="58"/>
      <c r="C540" s="59"/>
      <c r="D540" s="60"/>
      <c r="E540" s="58"/>
    </row>
    <row r="541">
      <c r="A541" s="57"/>
      <c r="B541" s="58"/>
      <c r="C541" s="59"/>
      <c r="D541" s="60"/>
      <c r="E541" s="58"/>
    </row>
    <row r="542">
      <c r="A542" s="57"/>
      <c r="B542" s="58"/>
      <c r="C542" s="59"/>
      <c r="D542" s="60"/>
      <c r="E542" s="58"/>
    </row>
    <row r="543">
      <c r="A543" s="57"/>
      <c r="B543" s="58"/>
      <c r="C543" s="59"/>
      <c r="D543" s="60"/>
      <c r="E543" s="58"/>
    </row>
    <row r="544">
      <c r="A544" s="57"/>
      <c r="B544" s="58"/>
      <c r="C544" s="59"/>
      <c r="D544" s="60"/>
      <c r="E544" s="58"/>
    </row>
    <row r="545">
      <c r="A545" s="57"/>
      <c r="B545" s="58"/>
      <c r="C545" s="59"/>
      <c r="D545" s="60"/>
      <c r="E545" s="58"/>
    </row>
    <row r="546">
      <c r="A546" s="57"/>
      <c r="B546" s="58"/>
      <c r="D546" s="59"/>
      <c r="E546" s="58"/>
    </row>
    <row r="547">
      <c r="A547" s="57"/>
      <c r="B547" s="58"/>
      <c r="C547" s="59"/>
      <c r="D547" s="60"/>
      <c r="E547" s="58"/>
    </row>
    <row r="548">
      <c r="A548" s="57"/>
      <c r="B548" s="58"/>
      <c r="C548" s="59"/>
      <c r="D548" s="60"/>
      <c r="E548" s="58"/>
    </row>
    <row r="549">
      <c r="A549" s="57"/>
      <c r="B549" s="58"/>
      <c r="C549" s="59"/>
      <c r="D549" s="60"/>
      <c r="E549" s="58"/>
    </row>
    <row r="550">
      <c r="A550" s="57"/>
      <c r="B550" s="58"/>
      <c r="C550" s="59"/>
      <c r="D550" s="60"/>
      <c r="E550" s="58"/>
    </row>
    <row r="551">
      <c r="A551" s="57"/>
      <c r="B551" s="58"/>
      <c r="C551" s="59"/>
      <c r="D551" s="60"/>
      <c r="E551" s="58"/>
    </row>
    <row r="552">
      <c r="A552" s="57"/>
      <c r="B552" s="58"/>
      <c r="C552" s="59"/>
      <c r="D552" s="60"/>
      <c r="E552" s="58"/>
    </row>
    <row r="553">
      <c r="A553" s="57"/>
      <c r="B553" s="58"/>
      <c r="C553" s="59"/>
      <c r="D553" s="60"/>
      <c r="E553" s="58"/>
    </row>
    <row r="554">
      <c r="A554" s="57"/>
      <c r="B554" s="58"/>
      <c r="D554" s="59"/>
      <c r="E554" s="58"/>
    </row>
    <row r="555">
      <c r="A555" s="57"/>
      <c r="B555" s="58"/>
      <c r="C555" s="59"/>
      <c r="D555" s="60"/>
      <c r="E555" s="58"/>
    </row>
    <row r="556">
      <c r="A556" s="57"/>
      <c r="B556" s="58"/>
      <c r="C556" s="59"/>
      <c r="D556" s="60"/>
      <c r="E556" s="58"/>
    </row>
    <row r="557">
      <c r="A557" s="57"/>
      <c r="B557" s="58"/>
      <c r="C557" s="59"/>
      <c r="D557" s="60"/>
      <c r="E557" s="58"/>
    </row>
    <row r="558">
      <c r="A558" s="57"/>
      <c r="B558" s="58"/>
      <c r="C558" s="59"/>
      <c r="D558" s="60"/>
      <c r="E558" s="58"/>
    </row>
    <row r="559">
      <c r="A559" s="57"/>
      <c r="B559" s="58"/>
      <c r="C559" s="59"/>
      <c r="D559" s="60"/>
      <c r="E559" s="58"/>
    </row>
    <row r="560">
      <c r="A560" s="57"/>
      <c r="B560" s="58"/>
      <c r="C560" s="59"/>
      <c r="D560" s="60"/>
      <c r="E560" s="58"/>
    </row>
    <row r="561">
      <c r="A561" s="57"/>
      <c r="B561" s="58"/>
      <c r="C561" s="59"/>
      <c r="D561" s="60"/>
      <c r="E561" s="58"/>
    </row>
    <row r="562">
      <c r="A562" s="57"/>
      <c r="B562" s="58"/>
      <c r="C562" s="59"/>
      <c r="D562" s="60"/>
      <c r="E562" s="58"/>
    </row>
    <row r="563">
      <c r="A563" s="57"/>
      <c r="B563" s="58"/>
      <c r="D563" s="59"/>
      <c r="E563" s="58"/>
    </row>
    <row r="564">
      <c r="A564" s="57"/>
      <c r="B564" s="58"/>
      <c r="C564" s="59"/>
      <c r="D564" s="60"/>
      <c r="E564" s="58"/>
    </row>
    <row r="565">
      <c r="A565" s="57"/>
      <c r="B565" s="58"/>
      <c r="C565" s="59"/>
      <c r="D565" s="60"/>
      <c r="E565" s="58"/>
    </row>
    <row r="566">
      <c r="A566" s="57"/>
      <c r="B566" s="58"/>
      <c r="C566" s="59"/>
      <c r="D566" s="60"/>
      <c r="E566" s="58"/>
    </row>
    <row r="567">
      <c r="A567" s="57"/>
      <c r="B567" s="58"/>
      <c r="C567" s="59"/>
      <c r="D567" s="60"/>
      <c r="E567" s="58"/>
    </row>
    <row r="568">
      <c r="A568" s="57"/>
      <c r="B568" s="58"/>
      <c r="D568" s="59"/>
      <c r="E568" s="58"/>
    </row>
    <row r="569">
      <c r="A569" s="57"/>
      <c r="B569" s="58"/>
      <c r="C569" s="59"/>
      <c r="D569" s="60"/>
      <c r="E569" s="58"/>
    </row>
    <row r="570">
      <c r="A570" s="57"/>
      <c r="B570" s="58"/>
      <c r="C570" s="59"/>
      <c r="D570" s="60"/>
      <c r="E570" s="58"/>
    </row>
    <row r="571">
      <c r="A571" s="57"/>
      <c r="B571" s="58"/>
      <c r="C571" s="59"/>
      <c r="D571" s="60"/>
      <c r="E571" s="58"/>
    </row>
    <row r="572">
      <c r="A572" s="57"/>
      <c r="B572" s="58"/>
      <c r="C572" s="59"/>
      <c r="D572" s="60"/>
      <c r="E572" s="58"/>
    </row>
    <row r="573">
      <c r="A573" s="57"/>
      <c r="B573" s="58"/>
      <c r="C573" s="59"/>
      <c r="D573" s="60"/>
      <c r="E573" s="58"/>
    </row>
    <row r="574">
      <c r="A574" s="57"/>
      <c r="B574" s="58"/>
      <c r="C574" s="59"/>
      <c r="D574" s="60"/>
      <c r="E574" s="58"/>
    </row>
    <row r="575">
      <c r="A575" s="57"/>
      <c r="B575" s="58"/>
      <c r="C575" s="59"/>
      <c r="D575" s="60"/>
      <c r="E575" s="58"/>
    </row>
    <row r="576">
      <c r="A576" s="57"/>
      <c r="B576" s="58"/>
      <c r="C576" s="59"/>
      <c r="D576" s="60"/>
      <c r="E576" s="58"/>
    </row>
    <row r="577">
      <c r="A577" s="57"/>
      <c r="B577" s="58"/>
      <c r="D577" s="59"/>
      <c r="E577" s="58"/>
    </row>
    <row r="578">
      <c r="A578" s="57"/>
      <c r="B578" s="58"/>
      <c r="C578" s="59"/>
      <c r="D578" s="60"/>
      <c r="E578" s="58"/>
    </row>
    <row r="579">
      <c r="A579" s="57"/>
      <c r="B579" s="58"/>
      <c r="C579" s="59"/>
      <c r="D579" s="60"/>
      <c r="E579" s="58"/>
    </row>
    <row r="580">
      <c r="A580" s="57"/>
      <c r="B580" s="58"/>
      <c r="C580" s="59"/>
      <c r="D580" s="60"/>
      <c r="E580" s="58"/>
    </row>
    <row r="581">
      <c r="A581" s="57"/>
      <c r="B581" s="58"/>
      <c r="D581" s="59"/>
      <c r="E581" s="58"/>
    </row>
    <row r="582">
      <c r="A582" s="57"/>
      <c r="B582" s="58"/>
      <c r="C582" s="59"/>
      <c r="D582" s="60"/>
      <c r="E582" s="58"/>
    </row>
    <row r="583">
      <c r="A583" s="57"/>
      <c r="B583" s="58"/>
      <c r="C583" s="59"/>
      <c r="D583" s="60"/>
      <c r="E583" s="58"/>
    </row>
    <row r="584">
      <c r="A584" s="57"/>
      <c r="B584" s="58"/>
      <c r="C584" s="59"/>
      <c r="D584" s="60"/>
      <c r="E584" s="58"/>
    </row>
    <row r="585">
      <c r="A585" s="57"/>
      <c r="B585" s="58"/>
      <c r="C585" s="59"/>
      <c r="D585" s="60"/>
      <c r="E585" s="58"/>
    </row>
    <row r="586">
      <c r="A586" s="57"/>
      <c r="B586" s="58"/>
      <c r="C586" s="59"/>
      <c r="D586" s="60"/>
      <c r="E586" s="58"/>
    </row>
    <row r="587">
      <c r="A587" s="57"/>
      <c r="B587" s="58"/>
      <c r="D587" s="59"/>
      <c r="E587" s="58"/>
    </row>
    <row r="588">
      <c r="A588" s="57"/>
      <c r="B588" s="58"/>
      <c r="D588" s="59"/>
      <c r="E588" s="58"/>
    </row>
    <row r="589">
      <c r="A589" s="57"/>
      <c r="B589" s="58"/>
      <c r="C589" s="59"/>
      <c r="D589" s="60"/>
      <c r="E589" s="58"/>
    </row>
    <row r="590">
      <c r="A590" s="57"/>
      <c r="B590" s="58"/>
      <c r="C590" s="59"/>
      <c r="D590" s="60"/>
      <c r="E590" s="58"/>
    </row>
    <row r="591">
      <c r="A591" s="57"/>
      <c r="B591" s="58"/>
      <c r="D591" s="59"/>
      <c r="E591" s="58"/>
    </row>
    <row r="592">
      <c r="A592" s="57"/>
      <c r="B592" s="58"/>
      <c r="C592" s="59"/>
      <c r="D592" s="60"/>
      <c r="E592" s="58"/>
    </row>
    <row r="593">
      <c r="A593" s="57"/>
      <c r="B593" s="58"/>
      <c r="C593" s="59"/>
      <c r="D593" s="60"/>
      <c r="E593" s="58"/>
    </row>
    <row r="594">
      <c r="A594" s="57"/>
      <c r="B594" s="58"/>
      <c r="D594" s="59"/>
      <c r="E594" s="58"/>
    </row>
    <row r="595">
      <c r="A595" s="57"/>
      <c r="B595" s="58"/>
      <c r="C595" s="59"/>
      <c r="D595" s="60"/>
      <c r="E595" s="58"/>
    </row>
    <row r="596">
      <c r="A596" s="57"/>
      <c r="B596" s="58"/>
      <c r="D596" s="59"/>
      <c r="E596" s="58"/>
    </row>
    <row r="597">
      <c r="A597" s="57"/>
      <c r="B597" s="58"/>
      <c r="C597" s="59"/>
      <c r="D597" s="60"/>
      <c r="E597" s="58"/>
    </row>
    <row r="598">
      <c r="A598" s="57"/>
      <c r="B598" s="58"/>
      <c r="C598" s="59"/>
      <c r="D598" s="60"/>
      <c r="E598" s="58"/>
    </row>
    <row r="599">
      <c r="A599" s="57"/>
      <c r="B599" s="58"/>
      <c r="C599" s="59"/>
      <c r="D599" s="60"/>
      <c r="E599" s="58"/>
    </row>
    <row r="600">
      <c r="A600" s="57"/>
      <c r="B600" s="58"/>
      <c r="C600" s="59"/>
      <c r="D600" s="60"/>
      <c r="E600" s="58"/>
    </row>
    <row r="601">
      <c r="A601" s="57"/>
      <c r="B601" s="58"/>
      <c r="C601" s="59"/>
      <c r="D601" s="60"/>
      <c r="E601" s="58"/>
    </row>
    <row r="602">
      <c r="A602" s="57"/>
      <c r="B602" s="58"/>
      <c r="C602" s="59"/>
      <c r="D602" s="60"/>
      <c r="E602" s="58"/>
    </row>
    <row r="603">
      <c r="A603" s="57"/>
      <c r="B603" s="58"/>
      <c r="C603" s="59"/>
      <c r="D603" s="60"/>
      <c r="E603" s="58"/>
    </row>
    <row r="604">
      <c r="A604" s="57"/>
      <c r="B604" s="58"/>
      <c r="C604" s="59"/>
      <c r="D604" s="60"/>
      <c r="E604" s="58"/>
    </row>
    <row r="605">
      <c r="A605" s="57"/>
      <c r="B605" s="58"/>
      <c r="C605" s="59"/>
      <c r="D605" s="60"/>
      <c r="E605" s="58"/>
    </row>
    <row r="606">
      <c r="A606" s="57"/>
      <c r="B606" s="58"/>
      <c r="C606" s="59"/>
      <c r="D606" s="60"/>
      <c r="E606" s="58"/>
    </row>
    <row r="607">
      <c r="A607" s="57"/>
      <c r="B607" s="58"/>
      <c r="C607" s="59"/>
      <c r="D607" s="60"/>
      <c r="E607" s="58"/>
    </row>
    <row r="608">
      <c r="A608" s="57"/>
      <c r="B608" s="58"/>
      <c r="C608" s="59"/>
      <c r="D608" s="60"/>
      <c r="E608" s="58"/>
    </row>
    <row r="609">
      <c r="A609" s="57"/>
      <c r="B609" s="58"/>
      <c r="C609" s="59"/>
      <c r="D609" s="60"/>
      <c r="E609" s="58"/>
    </row>
    <row r="610">
      <c r="A610" s="57"/>
      <c r="B610" s="58"/>
      <c r="C610" s="59"/>
      <c r="D610" s="60"/>
      <c r="E610" s="58"/>
    </row>
    <row r="611">
      <c r="A611" s="57"/>
      <c r="B611" s="58"/>
      <c r="D611" s="59"/>
      <c r="E611" s="58"/>
    </row>
    <row r="612">
      <c r="A612" s="57"/>
      <c r="B612" s="58"/>
      <c r="C612" s="59"/>
      <c r="D612" s="60"/>
      <c r="E612" s="58"/>
    </row>
    <row r="613">
      <c r="A613" s="57"/>
      <c r="B613" s="58"/>
      <c r="D613" s="59"/>
      <c r="E613" s="58"/>
    </row>
    <row r="614">
      <c r="A614" s="57"/>
      <c r="B614" s="58"/>
      <c r="C614" s="59"/>
      <c r="D614" s="60"/>
      <c r="E614" s="58"/>
    </row>
    <row r="615">
      <c r="A615" s="57"/>
      <c r="B615" s="58"/>
      <c r="C615" s="59"/>
      <c r="D615" s="60"/>
      <c r="E615" s="58"/>
    </row>
    <row r="616">
      <c r="A616" s="57"/>
      <c r="B616" s="58"/>
      <c r="C616" s="59"/>
      <c r="D616" s="60"/>
      <c r="E616" s="58"/>
    </row>
    <row r="617">
      <c r="A617" s="57"/>
      <c r="B617" s="58"/>
      <c r="C617" s="59"/>
      <c r="D617" s="60"/>
      <c r="E617" s="58"/>
    </row>
    <row r="618">
      <c r="A618" s="57"/>
      <c r="B618" s="58"/>
      <c r="C618" s="59"/>
      <c r="D618" s="60"/>
      <c r="E618" s="58"/>
    </row>
    <row r="619">
      <c r="A619" s="57"/>
      <c r="B619" s="58"/>
      <c r="C619" s="59"/>
      <c r="D619" s="60"/>
      <c r="E619" s="58"/>
    </row>
    <row r="620">
      <c r="A620" s="57"/>
      <c r="B620" s="58"/>
      <c r="C620" s="59"/>
      <c r="D620" s="60"/>
      <c r="E620" s="58"/>
    </row>
    <row r="621">
      <c r="A621" s="57"/>
      <c r="B621" s="58"/>
      <c r="C621" s="59"/>
      <c r="D621" s="60"/>
      <c r="E621" s="58"/>
    </row>
    <row r="622">
      <c r="A622" s="57"/>
      <c r="B622" s="58"/>
      <c r="C622" s="59"/>
      <c r="D622" s="60"/>
      <c r="E622" s="58"/>
    </row>
    <row r="623">
      <c r="A623" s="57"/>
      <c r="B623" s="58"/>
      <c r="D623" s="59"/>
      <c r="E623" s="58"/>
    </row>
    <row r="624">
      <c r="A624" s="57"/>
      <c r="B624" s="58"/>
      <c r="C624" s="59"/>
      <c r="D624" s="60"/>
      <c r="E624" s="58"/>
    </row>
    <row r="625">
      <c r="A625" s="57"/>
      <c r="B625" s="58"/>
      <c r="C625" s="59"/>
      <c r="D625" s="60"/>
      <c r="E625" s="58"/>
    </row>
    <row r="626">
      <c r="A626" s="57"/>
      <c r="B626" s="58"/>
      <c r="C626" s="59"/>
      <c r="D626" s="60"/>
      <c r="E626" s="58"/>
    </row>
    <row r="627">
      <c r="A627" s="57"/>
      <c r="B627" s="58"/>
      <c r="C627" s="59"/>
      <c r="D627" s="60"/>
      <c r="E627" s="58"/>
    </row>
    <row r="628">
      <c r="A628" s="57"/>
      <c r="B628" s="58"/>
      <c r="C628" s="59"/>
      <c r="D628" s="60"/>
      <c r="E628" s="58"/>
    </row>
    <row r="629">
      <c r="A629" s="57"/>
      <c r="B629" s="58"/>
      <c r="C629" s="59"/>
      <c r="D629" s="60"/>
      <c r="E629" s="58"/>
    </row>
    <row r="630">
      <c r="A630" s="57"/>
      <c r="B630" s="58"/>
      <c r="C630" s="59"/>
      <c r="D630" s="60"/>
      <c r="E630" s="58"/>
    </row>
    <row r="631">
      <c r="A631" s="57"/>
      <c r="B631" s="58"/>
      <c r="C631" s="59"/>
      <c r="D631" s="60"/>
      <c r="E631" s="58"/>
    </row>
    <row r="632">
      <c r="A632" s="57"/>
      <c r="B632" s="58"/>
      <c r="C632" s="59"/>
      <c r="D632" s="60"/>
      <c r="E632" s="58"/>
    </row>
    <row r="633">
      <c r="A633" s="57"/>
      <c r="B633" s="58"/>
      <c r="C633" s="59"/>
      <c r="D633" s="60"/>
      <c r="E633" s="58"/>
    </row>
    <row r="634">
      <c r="A634" s="57"/>
      <c r="B634" s="58"/>
      <c r="C634" s="59"/>
      <c r="D634" s="60"/>
      <c r="E634" s="58"/>
    </row>
    <row r="635">
      <c r="A635" s="57"/>
      <c r="B635" s="58"/>
      <c r="D635" s="59"/>
      <c r="E635" s="58"/>
    </row>
    <row r="636">
      <c r="A636" s="57"/>
      <c r="B636" s="58"/>
      <c r="D636" s="59"/>
      <c r="E636" s="58"/>
    </row>
    <row r="637">
      <c r="A637" s="57"/>
      <c r="B637" s="58"/>
      <c r="D637" s="59"/>
      <c r="E637" s="58"/>
    </row>
    <row r="638">
      <c r="A638" s="57"/>
      <c r="B638" s="58"/>
      <c r="C638" s="59"/>
      <c r="D638" s="60"/>
      <c r="E638" s="58"/>
    </row>
    <row r="639">
      <c r="A639" s="57"/>
      <c r="B639" s="58"/>
      <c r="C639" s="59"/>
      <c r="D639" s="60"/>
      <c r="E639" s="58"/>
    </row>
    <row r="640">
      <c r="A640" s="57"/>
      <c r="B640" s="58"/>
      <c r="C640" s="59"/>
      <c r="D640" s="60"/>
      <c r="E640" s="58"/>
    </row>
    <row r="641">
      <c r="A641" s="57"/>
      <c r="B641" s="58"/>
      <c r="D641" s="59"/>
      <c r="E641" s="58"/>
    </row>
    <row r="642">
      <c r="A642" s="57"/>
      <c r="B642" s="58"/>
      <c r="C642" s="59"/>
      <c r="D642" s="60"/>
      <c r="E642" s="58"/>
    </row>
    <row r="643">
      <c r="A643" s="57"/>
      <c r="B643" s="58"/>
      <c r="C643" s="59"/>
      <c r="D643" s="60"/>
      <c r="E643" s="58"/>
    </row>
    <row r="644">
      <c r="A644" s="57"/>
      <c r="B644" s="58"/>
      <c r="C644" s="59"/>
      <c r="D644" s="60"/>
      <c r="E644" s="58"/>
    </row>
    <row r="645">
      <c r="A645" s="57"/>
      <c r="B645" s="58"/>
      <c r="C645" s="59"/>
      <c r="D645" s="60"/>
      <c r="E645" s="58"/>
    </row>
    <row r="646">
      <c r="A646" s="57"/>
      <c r="B646" s="58"/>
      <c r="C646" s="59"/>
      <c r="D646" s="60"/>
      <c r="E646" s="58"/>
    </row>
    <row r="647">
      <c r="A647" s="57"/>
      <c r="B647" s="58"/>
      <c r="C647" s="59"/>
      <c r="D647" s="60"/>
      <c r="E647" s="58"/>
    </row>
    <row r="648">
      <c r="A648" s="57"/>
      <c r="B648" s="58"/>
      <c r="D648" s="59"/>
      <c r="E648" s="58"/>
    </row>
    <row r="649">
      <c r="A649" s="57"/>
      <c r="B649" s="58"/>
      <c r="D649" s="59"/>
      <c r="E649" s="58"/>
    </row>
    <row r="650">
      <c r="A650" s="57"/>
      <c r="B650" s="58"/>
      <c r="C650" s="59"/>
      <c r="D650" s="60"/>
      <c r="E650" s="58"/>
    </row>
    <row r="651">
      <c r="A651" s="57"/>
      <c r="B651" s="58"/>
      <c r="C651" s="59"/>
      <c r="D651" s="60"/>
      <c r="E651" s="58"/>
    </row>
    <row r="652">
      <c r="A652" s="57"/>
      <c r="B652" s="58"/>
      <c r="C652" s="59"/>
      <c r="D652" s="60"/>
      <c r="E652" s="58"/>
    </row>
    <row r="653">
      <c r="A653" s="57"/>
      <c r="B653" s="58"/>
      <c r="C653" s="59"/>
      <c r="D653" s="60"/>
      <c r="E653" s="58"/>
    </row>
    <row r="654">
      <c r="A654" s="57"/>
      <c r="B654" s="58"/>
      <c r="C654" s="59"/>
      <c r="D654" s="60"/>
      <c r="E654" s="58"/>
    </row>
    <row r="655">
      <c r="A655" s="57"/>
      <c r="B655" s="58"/>
      <c r="C655" s="59"/>
      <c r="D655" s="60"/>
      <c r="E655" s="58"/>
    </row>
    <row r="656">
      <c r="A656" s="57"/>
      <c r="B656" s="58"/>
      <c r="C656" s="59"/>
      <c r="D656" s="60"/>
      <c r="E656" s="58"/>
    </row>
    <row r="657">
      <c r="A657" s="57"/>
      <c r="B657" s="58"/>
      <c r="C657" s="59"/>
      <c r="D657" s="60"/>
      <c r="E657" s="58"/>
    </row>
    <row r="658">
      <c r="A658" s="57"/>
      <c r="B658" s="58"/>
      <c r="D658" s="59"/>
      <c r="E658" s="58"/>
    </row>
    <row r="659">
      <c r="A659" s="57"/>
      <c r="B659" s="58"/>
      <c r="D659" s="59"/>
      <c r="E659" s="58"/>
    </row>
    <row r="660">
      <c r="A660" s="57"/>
      <c r="B660" s="58"/>
      <c r="D660" s="59"/>
      <c r="E660" s="58"/>
    </row>
    <row r="661">
      <c r="A661" s="57"/>
      <c r="B661" s="58"/>
      <c r="C661" s="59"/>
      <c r="D661" s="60"/>
      <c r="E661" s="58"/>
    </row>
    <row r="662">
      <c r="A662" s="57"/>
      <c r="B662" s="58"/>
      <c r="D662" s="59"/>
      <c r="E662" s="58"/>
    </row>
    <row r="663">
      <c r="A663" s="57"/>
      <c r="B663" s="58"/>
      <c r="C663" s="59"/>
      <c r="D663" s="60"/>
      <c r="E663" s="58"/>
    </row>
    <row r="664">
      <c r="A664" s="57"/>
      <c r="B664" s="58"/>
      <c r="C664" s="59"/>
      <c r="D664" s="60"/>
      <c r="E664" s="58"/>
    </row>
    <row r="665">
      <c r="A665" s="57"/>
      <c r="B665" s="58"/>
      <c r="C665" s="59"/>
      <c r="D665" s="60"/>
      <c r="E665" s="58"/>
    </row>
    <row r="666">
      <c r="A666" s="57"/>
      <c r="B666" s="58"/>
      <c r="C666" s="59"/>
      <c r="D666" s="60"/>
      <c r="E666" s="58"/>
    </row>
    <row r="667">
      <c r="A667" s="57"/>
      <c r="B667" s="58"/>
      <c r="C667" s="59"/>
      <c r="D667" s="60"/>
      <c r="E667" s="58"/>
    </row>
    <row r="668">
      <c r="A668" s="57"/>
      <c r="B668" s="58"/>
      <c r="D668" s="59"/>
      <c r="E668" s="58"/>
    </row>
    <row r="669">
      <c r="A669" s="57"/>
      <c r="B669" s="58"/>
      <c r="C669" s="59"/>
      <c r="D669" s="60"/>
      <c r="E669" s="58"/>
    </row>
    <row r="670">
      <c r="A670" s="57"/>
      <c r="B670" s="58"/>
      <c r="D670" s="59"/>
      <c r="E670" s="58"/>
    </row>
    <row r="671">
      <c r="A671" s="57"/>
      <c r="B671" s="58"/>
      <c r="D671" s="59"/>
      <c r="E671" s="58"/>
    </row>
    <row r="672">
      <c r="A672" s="57"/>
      <c r="B672" s="58"/>
      <c r="D672" s="59"/>
      <c r="E672" s="58"/>
    </row>
    <row r="673">
      <c r="A673" s="57"/>
      <c r="B673" s="58"/>
      <c r="C673" s="59"/>
      <c r="D673" s="60"/>
      <c r="E673" s="58"/>
    </row>
    <row r="674">
      <c r="A674" s="57"/>
      <c r="B674" s="58"/>
      <c r="C674" s="59"/>
      <c r="D674" s="60"/>
      <c r="E674" s="58"/>
    </row>
    <row r="675">
      <c r="A675" s="57"/>
      <c r="B675" s="58"/>
      <c r="C675" s="59"/>
      <c r="D675" s="60"/>
      <c r="E675" s="58"/>
    </row>
    <row r="676">
      <c r="A676" s="57"/>
      <c r="B676" s="58"/>
      <c r="C676" s="59"/>
      <c r="D676" s="60"/>
      <c r="E676" s="58"/>
    </row>
    <row r="677">
      <c r="A677" s="57"/>
      <c r="B677" s="58"/>
      <c r="D677" s="59"/>
      <c r="E677" s="58"/>
    </row>
    <row r="678">
      <c r="A678" s="57"/>
      <c r="B678" s="58"/>
      <c r="C678" s="59"/>
      <c r="D678" s="60"/>
      <c r="E678" s="58"/>
    </row>
    <row r="679">
      <c r="A679" s="57"/>
      <c r="B679" s="58"/>
      <c r="C679" s="59"/>
      <c r="D679" s="60"/>
      <c r="E679" s="58"/>
    </row>
    <row r="680">
      <c r="A680" s="57"/>
      <c r="B680" s="58"/>
      <c r="C680" s="59"/>
      <c r="D680" s="60"/>
      <c r="E680" s="58"/>
    </row>
    <row r="681">
      <c r="A681" s="57"/>
      <c r="B681" s="58"/>
      <c r="D681" s="59"/>
      <c r="E681" s="58"/>
    </row>
    <row r="682">
      <c r="A682" s="57"/>
      <c r="B682" s="58"/>
      <c r="C682" s="59"/>
      <c r="D682" s="60"/>
      <c r="E682" s="58"/>
    </row>
    <row r="683">
      <c r="A683" s="57"/>
      <c r="B683" s="58"/>
      <c r="C683" s="59"/>
      <c r="D683" s="60"/>
      <c r="E683" s="58"/>
    </row>
    <row r="684">
      <c r="A684" s="57"/>
      <c r="B684" s="58"/>
      <c r="C684" s="59"/>
      <c r="D684" s="60"/>
      <c r="E684" s="58"/>
    </row>
    <row r="685">
      <c r="A685" s="57"/>
      <c r="B685" s="58"/>
      <c r="C685" s="59"/>
      <c r="D685" s="60"/>
      <c r="E685" s="58"/>
    </row>
    <row r="686">
      <c r="A686" s="57"/>
      <c r="B686" s="58"/>
      <c r="D686" s="59"/>
      <c r="E686" s="58"/>
    </row>
    <row r="687">
      <c r="A687" s="57"/>
      <c r="B687" s="58"/>
      <c r="C687" s="59"/>
      <c r="D687" s="60"/>
      <c r="E687" s="58"/>
    </row>
    <row r="688">
      <c r="A688" s="57"/>
      <c r="B688" s="58"/>
      <c r="C688" s="59"/>
      <c r="D688" s="60"/>
      <c r="E688" s="58"/>
    </row>
    <row r="689">
      <c r="A689" s="57"/>
      <c r="B689" s="58"/>
      <c r="D689" s="59"/>
      <c r="E689" s="58"/>
    </row>
    <row r="690">
      <c r="A690" s="57"/>
      <c r="B690" s="58"/>
      <c r="D690" s="59"/>
      <c r="E690" s="58"/>
    </row>
    <row r="691">
      <c r="A691" s="57"/>
      <c r="B691" s="58"/>
      <c r="C691" s="59"/>
      <c r="D691" s="60"/>
      <c r="E691" s="58"/>
    </row>
    <row r="692">
      <c r="A692" s="57"/>
      <c r="B692" s="58"/>
      <c r="C692" s="59"/>
      <c r="D692" s="60"/>
      <c r="E692" s="58"/>
    </row>
    <row r="693">
      <c r="A693" s="57"/>
      <c r="B693" s="58"/>
      <c r="C693" s="59"/>
      <c r="D693" s="60"/>
      <c r="E693" s="58"/>
    </row>
    <row r="694">
      <c r="A694" s="57"/>
      <c r="B694" s="58"/>
      <c r="D694" s="59"/>
      <c r="E694" s="58"/>
    </row>
    <row r="695">
      <c r="A695" s="57"/>
      <c r="B695" s="58"/>
      <c r="D695" s="59"/>
      <c r="E695" s="58"/>
    </row>
    <row r="696">
      <c r="A696" s="57"/>
      <c r="B696" s="58"/>
      <c r="C696" s="59"/>
      <c r="D696" s="60"/>
      <c r="E696" s="58"/>
    </row>
    <row r="697">
      <c r="A697" s="57"/>
      <c r="B697" s="58"/>
      <c r="D697" s="59"/>
      <c r="E697" s="58"/>
    </row>
    <row r="698">
      <c r="A698" s="57"/>
      <c r="B698" s="58"/>
      <c r="D698" s="59"/>
      <c r="E698" s="58"/>
    </row>
    <row r="699">
      <c r="A699" s="57"/>
      <c r="B699" s="58"/>
      <c r="C699" s="59"/>
      <c r="D699" s="60"/>
      <c r="E699" s="58"/>
    </row>
    <row r="700">
      <c r="A700" s="57"/>
      <c r="B700" s="58"/>
      <c r="D700" s="59"/>
      <c r="E700" s="58"/>
    </row>
    <row r="701">
      <c r="A701" s="57"/>
      <c r="B701" s="58"/>
      <c r="C701" s="59"/>
      <c r="D701" s="60"/>
      <c r="E701" s="58"/>
    </row>
    <row r="702">
      <c r="A702" s="57"/>
      <c r="B702" s="58"/>
      <c r="C702" s="59"/>
      <c r="D702" s="60"/>
      <c r="E702" s="58"/>
    </row>
    <row r="703">
      <c r="A703" s="57"/>
      <c r="B703" s="58"/>
      <c r="D703" s="59"/>
      <c r="E703" s="58"/>
    </row>
    <row r="704">
      <c r="A704" s="57"/>
      <c r="B704" s="58"/>
      <c r="D704" s="59"/>
      <c r="E704" s="58"/>
    </row>
    <row r="705">
      <c r="A705" s="57"/>
      <c r="B705" s="58"/>
      <c r="C705" s="59"/>
      <c r="D705" s="60"/>
      <c r="E705" s="58"/>
    </row>
    <row r="706">
      <c r="A706" s="57"/>
      <c r="B706" s="58"/>
      <c r="C706" s="59"/>
      <c r="D706" s="60"/>
      <c r="E706" s="58"/>
    </row>
    <row r="707">
      <c r="A707" s="57"/>
      <c r="B707" s="58"/>
      <c r="C707" s="59"/>
      <c r="D707" s="60"/>
      <c r="E707" s="58"/>
    </row>
    <row r="708">
      <c r="A708" s="57"/>
      <c r="B708" s="58"/>
      <c r="C708" s="59"/>
      <c r="D708" s="60"/>
      <c r="E708" s="58"/>
    </row>
    <row r="709">
      <c r="A709" s="57"/>
      <c r="B709" s="58"/>
      <c r="C709" s="59"/>
      <c r="D709" s="60"/>
      <c r="E709" s="58"/>
    </row>
    <row r="710">
      <c r="A710" s="57"/>
      <c r="B710" s="58"/>
      <c r="C710" s="59"/>
      <c r="D710" s="60"/>
      <c r="E710" s="58"/>
    </row>
    <row r="711">
      <c r="A711" s="57"/>
      <c r="B711" s="58"/>
      <c r="C711" s="59"/>
      <c r="D711" s="60"/>
      <c r="E711" s="58"/>
    </row>
    <row r="712">
      <c r="A712" s="57"/>
      <c r="B712" s="58"/>
      <c r="D712" s="59"/>
      <c r="E712" s="58"/>
    </row>
    <row r="713">
      <c r="A713" s="57"/>
      <c r="B713" s="58"/>
      <c r="C713" s="59"/>
      <c r="D713" s="60"/>
      <c r="E713" s="58"/>
    </row>
    <row r="714">
      <c r="A714" s="57"/>
      <c r="B714" s="58"/>
      <c r="C714" s="59"/>
      <c r="D714" s="60"/>
      <c r="E714" s="58"/>
    </row>
    <row r="715">
      <c r="A715" s="57"/>
      <c r="B715" s="58"/>
      <c r="D715" s="59"/>
      <c r="E715" s="58"/>
    </row>
    <row r="716">
      <c r="A716" s="57"/>
      <c r="B716" s="58"/>
      <c r="C716" s="59"/>
      <c r="D716" s="60"/>
      <c r="E716" s="58"/>
    </row>
    <row r="717">
      <c r="A717" s="57"/>
      <c r="B717" s="58"/>
      <c r="C717" s="59"/>
      <c r="D717" s="60"/>
      <c r="E717" s="58"/>
    </row>
    <row r="718">
      <c r="A718" s="57"/>
      <c r="B718" s="58"/>
      <c r="C718" s="59"/>
      <c r="D718" s="60"/>
      <c r="E718" s="58"/>
    </row>
    <row r="719">
      <c r="A719" s="57"/>
      <c r="B719" s="58"/>
      <c r="C719" s="59"/>
      <c r="D719" s="60"/>
      <c r="E719" s="58"/>
    </row>
    <row r="720">
      <c r="A720" s="57"/>
      <c r="B720" s="58"/>
      <c r="C720" s="59"/>
      <c r="D720" s="60"/>
      <c r="E720" s="58"/>
    </row>
    <row r="721">
      <c r="A721" s="57"/>
      <c r="B721" s="58"/>
      <c r="C721" s="59"/>
      <c r="D721" s="60"/>
      <c r="E721" s="58"/>
    </row>
    <row r="722">
      <c r="A722" s="57"/>
      <c r="B722" s="58"/>
      <c r="C722" s="59"/>
      <c r="D722" s="60"/>
      <c r="E722" s="58"/>
    </row>
    <row r="723">
      <c r="A723" s="57"/>
      <c r="B723" s="58"/>
      <c r="C723" s="59"/>
      <c r="D723" s="60"/>
      <c r="E723" s="58"/>
    </row>
    <row r="724">
      <c r="A724" s="57"/>
      <c r="B724" s="58"/>
      <c r="D724" s="59"/>
      <c r="E724" s="58"/>
    </row>
    <row r="725">
      <c r="A725" s="57"/>
      <c r="B725" s="58"/>
      <c r="C725" s="59"/>
      <c r="D725" s="60"/>
      <c r="E725" s="58"/>
    </row>
    <row r="726">
      <c r="A726" s="57"/>
      <c r="B726" s="58"/>
      <c r="D726" s="59"/>
      <c r="E726" s="58"/>
    </row>
    <row r="727">
      <c r="A727" s="57"/>
      <c r="B727" s="58"/>
      <c r="C727" s="59"/>
      <c r="D727" s="60"/>
      <c r="E727" s="58"/>
    </row>
    <row r="728">
      <c r="A728" s="57"/>
      <c r="B728" s="58"/>
      <c r="C728" s="59"/>
      <c r="D728" s="60"/>
      <c r="E728" s="58"/>
    </row>
    <row r="729">
      <c r="A729" s="57"/>
      <c r="B729" s="58"/>
      <c r="D729" s="59"/>
      <c r="E729" s="58"/>
    </row>
    <row r="730">
      <c r="A730" s="57"/>
      <c r="B730" s="58"/>
      <c r="D730" s="59"/>
      <c r="E730" s="58"/>
    </row>
    <row r="731">
      <c r="A731" s="57"/>
      <c r="B731" s="58"/>
      <c r="D731" s="59"/>
      <c r="E731" s="58"/>
    </row>
    <row r="732">
      <c r="A732" s="57"/>
      <c r="B732" s="58"/>
      <c r="D732" s="59"/>
      <c r="E732" s="58"/>
    </row>
    <row r="733">
      <c r="A733" s="57"/>
      <c r="B733" s="58"/>
      <c r="C733" s="59"/>
      <c r="D733" s="60"/>
      <c r="E733" s="58"/>
    </row>
    <row r="734">
      <c r="A734" s="57"/>
      <c r="B734" s="58"/>
      <c r="C734" s="59"/>
      <c r="D734" s="60"/>
      <c r="E734" s="58"/>
    </row>
    <row r="735">
      <c r="A735" s="57"/>
      <c r="B735" s="58"/>
      <c r="D735" s="59"/>
      <c r="E735" s="58"/>
    </row>
    <row r="736">
      <c r="A736" s="57"/>
      <c r="B736" s="58"/>
      <c r="C736" s="59"/>
      <c r="D736" s="60"/>
      <c r="E736" s="58"/>
    </row>
    <row r="737">
      <c r="A737" s="57"/>
      <c r="B737" s="58"/>
      <c r="C737" s="59"/>
      <c r="D737" s="60"/>
      <c r="E737" s="58"/>
    </row>
    <row r="738">
      <c r="A738" s="57"/>
      <c r="B738" s="58"/>
      <c r="C738" s="59"/>
      <c r="D738" s="60"/>
      <c r="E738" s="58"/>
    </row>
    <row r="739">
      <c r="A739" s="57"/>
      <c r="B739" s="58"/>
      <c r="C739" s="59"/>
      <c r="D739" s="60"/>
      <c r="E739" s="58"/>
    </row>
    <row r="740">
      <c r="A740" s="57"/>
      <c r="B740" s="58"/>
      <c r="C740" s="59"/>
      <c r="D740" s="60"/>
      <c r="E740" s="58"/>
    </row>
    <row r="741">
      <c r="A741" s="57"/>
      <c r="B741" s="58"/>
      <c r="D741" s="59"/>
      <c r="E741" s="58"/>
    </row>
    <row r="742">
      <c r="A742" s="57"/>
      <c r="B742" s="58"/>
      <c r="D742" s="59"/>
      <c r="E742" s="58"/>
    </row>
    <row r="743">
      <c r="A743" s="57"/>
      <c r="B743" s="58"/>
      <c r="D743" s="59"/>
      <c r="E743" s="58"/>
    </row>
    <row r="744">
      <c r="A744" s="57"/>
      <c r="B744" s="58"/>
      <c r="C744" s="59"/>
      <c r="D744" s="60"/>
      <c r="E744" s="58"/>
    </row>
    <row r="745">
      <c r="A745" s="57"/>
      <c r="B745" s="58"/>
      <c r="D745" s="59"/>
      <c r="E745" s="58"/>
    </row>
    <row r="746">
      <c r="A746" s="57"/>
      <c r="B746" s="58"/>
      <c r="C746" s="59"/>
      <c r="D746" s="60"/>
      <c r="E746" s="58"/>
    </row>
    <row r="747">
      <c r="A747" s="57"/>
      <c r="B747" s="58"/>
      <c r="C747" s="59"/>
      <c r="D747" s="60"/>
      <c r="E747" s="58"/>
    </row>
    <row r="748">
      <c r="A748" s="57"/>
      <c r="B748" s="58"/>
      <c r="C748" s="59"/>
      <c r="D748" s="60"/>
      <c r="E748" s="58"/>
    </row>
    <row r="749">
      <c r="A749" s="57"/>
      <c r="B749" s="58"/>
      <c r="D749" s="59"/>
      <c r="E749" s="58"/>
    </row>
    <row r="750">
      <c r="A750" s="57"/>
      <c r="B750" s="58"/>
      <c r="C750" s="59"/>
      <c r="D750" s="60"/>
      <c r="E750" s="58"/>
    </row>
    <row r="751">
      <c r="A751" s="57"/>
      <c r="B751" s="58"/>
      <c r="D751" s="59"/>
      <c r="E751" s="58"/>
    </row>
    <row r="752">
      <c r="A752" s="57"/>
      <c r="B752" s="58"/>
      <c r="C752" s="59"/>
      <c r="D752" s="60"/>
      <c r="E752" s="58"/>
    </row>
    <row r="753">
      <c r="A753" s="57"/>
      <c r="B753" s="58"/>
      <c r="D753" s="59"/>
      <c r="E753" s="58"/>
    </row>
    <row r="754">
      <c r="A754" s="57"/>
      <c r="B754" s="58"/>
      <c r="C754" s="59"/>
      <c r="D754" s="60"/>
      <c r="E754" s="58"/>
    </row>
    <row r="755">
      <c r="A755" s="57"/>
      <c r="B755" s="58"/>
      <c r="D755" s="59"/>
      <c r="E755" s="58"/>
    </row>
    <row r="756">
      <c r="A756" s="57"/>
      <c r="B756" s="58"/>
      <c r="D756" s="59"/>
      <c r="E756" s="58"/>
    </row>
    <row r="757">
      <c r="A757" s="57"/>
      <c r="B757" s="58"/>
      <c r="C757" s="59"/>
      <c r="D757" s="60"/>
      <c r="E757" s="58"/>
    </row>
    <row r="758">
      <c r="A758" s="57"/>
      <c r="B758" s="58"/>
      <c r="C758" s="59"/>
      <c r="D758" s="60"/>
      <c r="E758" s="58"/>
    </row>
    <row r="759">
      <c r="A759" s="57"/>
      <c r="B759" s="58"/>
      <c r="C759" s="59"/>
      <c r="D759" s="60"/>
      <c r="E759" s="58"/>
    </row>
    <row r="760">
      <c r="A760" s="57"/>
      <c r="B760" s="58"/>
      <c r="C760" s="59"/>
      <c r="D760" s="60"/>
      <c r="E760" s="58"/>
    </row>
    <row r="761">
      <c r="A761" s="57"/>
      <c r="B761" s="58"/>
      <c r="C761" s="59"/>
      <c r="D761" s="60"/>
      <c r="E761" s="58"/>
    </row>
    <row r="762">
      <c r="A762" s="57"/>
      <c r="B762" s="58"/>
      <c r="C762" s="59"/>
      <c r="D762" s="60"/>
      <c r="E762" s="58"/>
    </row>
    <row r="763">
      <c r="A763" s="57"/>
      <c r="B763" s="58"/>
      <c r="C763" s="59"/>
      <c r="D763" s="60"/>
      <c r="E763" s="58"/>
    </row>
    <row r="764">
      <c r="A764" s="57"/>
      <c r="B764" s="58"/>
      <c r="C764" s="59"/>
      <c r="D764" s="60"/>
      <c r="E764" s="58"/>
    </row>
    <row r="765">
      <c r="A765" s="57"/>
      <c r="B765" s="58"/>
      <c r="D765" s="59"/>
      <c r="E765" s="58"/>
    </row>
    <row r="766">
      <c r="A766" s="57"/>
      <c r="B766" s="58"/>
      <c r="C766" s="59"/>
      <c r="D766" s="60"/>
      <c r="E766" s="58"/>
    </row>
    <row r="767">
      <c r="A767" s="57"/>
      <c r="B767" s="58"/>
      <c r="C767" s="59"/>
      <c r="D767" s="60"/>
      <c r="E767" s="58"/>
    </row>
    <row r="768">
      <c r="A768" s="57"/>
      <c r="B768" s="58"/>
      <c r="D768" s="59"/>
      <c r="E768" s="58"/>
    </row>
    <row r="769">
      <c r="A769" s="57"/>
      <c r="B769" s="58"/>
      <c r="D769" s="59"/>
      <c r="E769" s="58"/>
    </row>
    <row r="770">
      <c r="A770" s="57"/>
      <c r="B770" s="58"/>
      <c r="D770" s="59"/>
      <c r="E770" s="58"/>
    </row>
    <row r="771">
      <c r="A771" s="57"/>
      <c r="B771" s="58"/>
      <c r="C771" s="59"/>
      <c r="D771" s="60"/>
      <c r="E771" s="58"/>
    </row>
    <row r="772">
      <c r="A772" s="57"/>
      <c r="B772" s="58"/>
      <c r="C772" s="59"/>
      <c r="D772" s="60"/>
      <c r="E772" s="58"/>
    </row>
    <row r="773">
      <c r="A773" s="57"/>
      <c r="B773" s="58"/>
      <c r="C773" s="59"/>
      <c r="D773" s="60"/>
      <c r="E773" s="58"/>
    </row>
    <row r="774">
      <c r="A774" s="57"/>
      <c r="B774" s="58"/>
      <c r="D774" s="59"/>
      <c r="E774" s="58"/>
    </row>
    <row r="775">
      <c r="A775" s="57"/>
      <c r="B775" s="58"/>
      <c r="D775" s="59"/>
      <c r="E775" s="58"/>
    </row>
    <row r="776">
      <c r="A776" s="57"/>
      <c r="B776" s="58"/>
      <c r="C776" s="59"/>
      <c r="D776" s="60"/>
      <c r="E776" s="58"/>
    </row>
    <row r="777">
      <c r="A777" s="57"/>
      <c r="B777" s="58"/>
      <c r="C777" s="59"/>
      <c r="D777" s="60"/>
      <c r="E777" s="58"/>
    </row>
    <row r="778">
      <c r="A778" s="57"/>
      <c r="B778" s="58"/>
      <c r="C778" s="59"/>
      <c r="D778" s="60"/>
      <c r="E778" s="58"/>
    </row>
    <row r="779">
      <c r="A779" s="57"/>
      <c r="B779" s="58"/>
      <c r="C779" s="59"/>
      <c r="D779" s="60"/>
      <c r="E779" s="58"/>
    </row>
    <row r="780">
      <c r="A780" s="57"/>
      <c r="B780" s="58"/>
      <c r="D780" s="59"/>
      <c r="E780" s="58"/>
    </row>
    <row r="781">
      <c r="A781" s="57"/>
      <c r="B781" s="58"/>
      <c r="D781" s="59"/>
      <c r="E781" s="58"/>
    </row>
    <row r="782">
      <c r="A782" s="57"/>
      <c r="B782" s="58"/>
      <c r="D782" s="59"/>
      <c r="E782" s="58"/>
    </row>
    <row r="783">
      <c r="A783" s="57"/>
      <c r="B783" s="58"/>
      <c r="D783" s="59"/>
      <c r="E783" s="58"/>
    </row>
    <row r="784">
      <c r="A784" s="57"/>
      <c r="B784" s="58"/>
      <c r="D784" s="59"/>
      <c r="E784" s="58"/>
    </row>
    <row r="785">
      <c r="A785" s="57"/>
      <c r="B785" s="58"/>
      <c r="C785" s="59"/>
      <c r="D785" s="60"/>
      <c r="E785" s="58"/>
    </row>
    <row r="786">
      <c r="A786" s="57"/>
      <c r="B786" s="58"/>
      <c r="C786" s="59"/>
      <c r="D786" s="60"/>
      <c r="E786" s="58"/>
    </row>
    <row r="787">
      <c r="A787" s="57"/>
      <c r="B787" s="58"/>
      <c r="C787" s="59"/>
      <c r="D787" s="60"/>
      <c r="E787" s="58"/>
    </row>
    <row r="788">
      <c r="A788" s="57"/>
      <c r="B788" s="58"/>
      <c r="D788" s="59"/>
      <c r="E788" s="58"/>
    </row>
    <row r="789">
      <c r="A789" s="57"/>
      <c r="B789" s="58"/>
      <c r="D789" s="59"/>
      <c r="E789" s="58"/>
    </row>
    <row r="790">
      <c r="A790" s="57"/>
      <c r="B790" s="58"/>
      <c r="D790" s="59"/>
      <c r="E790" s="58"/>
    </row>
    <row r="791">
      <c r="A791" s="57"/>
      <c r="B791" s="58"/>
      <c r="C791" s="59"/>
      <c r="D791" s="60"/>
      <c r="E791" s="58"/>
    </row>
    <row r="792">
      <c r="A792" s="57"/>
      <c r="B792" s="58"/>
      <c r="C792" s="59"/>
      <c r="D792" s="60"/>
      <c r="E792" s="58"/>
    </row>
    <row r="793">
      <c r="A793" s="57"/>
      <c r="B793" s="58"/>
      <c r="C793" s="59"/>
      <c r="D793" s="60"/>
      <c r="E793" s="58"/>
    </row>
    <row r="794">
      <c r="A794" s="57"/>
      <c r="B794" s="58"/>
      <c r="C794" s="59"/>
      <c r="D794" s="60"/>
      <c r="E794" s="58"/>
    </row>
    <row r="795">
      <c r="A795" s="57"/>
      <c r="B795" s="58"/>
      <c r="C795" s="59"/>
      <c r="D795" s="60"/>
      <c r="E795" s="58"/>
    </row>
    <row r="796">
      <c r="A796" s="57"/>
      <c r="B796" s="58"/>
      <c r="D796" s="59"/>
      <c r="E796" s="58"/>
    </row>
    <row r="797">
      <c r="A797" s="57"/>
      <c r="B797" s="58"/>
      <c r="C797" s="59"/>
      <c r="D797" s="60"/>
      <c r="E797" s="58"/>
    </row>
    <row r="798">
      <c r="A798" s="57"/>
      <c r="B798" s="58"/>
      <c r="C798" s="59"/>
      <c r="D798" s="60"/>
      <c r="E798" s="58"/>
    </row>
    <row r="799">
      <c r="A799" s="57"/>
      <c r="B799" s="58"/>
      <c r="D799" s="59"/>
      <c r="E799" s="58"/>
    </row>
    <row r="800">
      <c r="A800" s="57"/>
      <c r="B800" s="58"/>
      <c r="D800" s="59"/>
      <c r="E800" s="58"/>
    </row>
    <row r="801">
      <c r="A801" s="57"/>
      <c r="B801" s="58"/>
      <c r="D801" s="59"/>
      <c r="E801" s="58"/>
    </row>
    <row r="802">
      <c r="A802" s="57"/>
      <c r="B802" s="58"/>
      <c r="C802" s="59"/>
      <c r="D802" s="60"/>
      <c r="E802" s="58"/>
    </row>
    <row r="803">
      <c r="A803" s="57"/>
      <c r="B803" s="58"/>
      <c r="C803" s="59"/>
      <c r="D803" s="60"/>
      <c r="E803" s="58"/>
    </row>
    <row r="804">
      <c r="A804" s="57"/>
      <c r="B804" s="58"/>
      <c r="C804" s="59"/>
      <c r="D804" s="60"/>
      <c r="E804" s="58"/>
    </row>
    <row r="805">
      <c r="A805" s="57"/>
      <c r="B805" s="58"/>
      <c r="C805" s="59"/>
      <c r="D805" s="60"/>
      <c r="E805" s="58"/>
    </row>
    <row r="806">
      <c r="A806" s="57"/>
      <c r="B806" s="58"/>
      <c r="C806" s="59"/>
      <c r="D806" s="60"/>
      <c r="E806" s="58"/>
    </row>
    <row r="807">
      <c r="A807" s="57"/>
      <c r="B807" s="58"/>
      <c r="D807" s="59"/>
      <c r="E807" s="58"/>
    </row>
    <row r="808">
      <c r="A808" s="57"/>
      <c r="B808" s="58"/>
      <c r="C808" s="59"/>
      <c r="D808" s="60"/>
      <c r="E808" s="58"/>
    </row>
    <row r="809">
      <c r="A809" s="57"/>
      <c r="B809" s="58"/>
      <c r="C809" s="59"/>
      <c r="D809" s="60"/>
      <c r="E809" s="58"/>
    </row>
    <row r="810">
      <c r="A810" s="57"/>
      <c r="B810" s="58"/>
      <c r="D810" s="59"/>
      <c r="E810" s="58"/>
    </row>
    <row r="811">
      <c r="A811" s="57"/>
      <c r="B811" s="58"/>
      <c r="C811" s="59"/>
      <c r="D811" s="60"/>
      <c r="E811" s="58"/>
    </row>
    <row r="812">
      <c r="A812" s="57"/>
      <c r="B812" s="58"/>
      <c r="D812" s="59"/>
      <c r="E812" s="58"/>
    </row>
    <row r="813">
      <c r="A813" s="57"/>
      <c r="B813" s="58"/>
      <c r="C813" s="59"/>
      <c r="D813" s="60"/>
      <c r="E813" s="58"/>
    </row>
    <row r="814">
      <c r="A814" s="57"/>
      <c r="B814" s="58"/>
      <c r="D814" s="59"/>
      <c r="E814" s="58"/>
    </row>
    <row r="815">
      <c r="A815" s="57"/>
      <c r="B815" s="58"/>
      <c r="C815" s="59"/>
      <c r="D815" s="60"/>
      <c r="E815" s="58"/>
    </row>
    <row r="816">
      <c r="A816" s="57"/>
      <c r="B816" s="58"/>
      <c r="C816" s="59"/>
      <c r="D816" s="60"/>
      <c r="E816" s="58"/>
    </row>
    <row r="817">
      <c r="A817" s="57"/>
      <c r="B817" s="58"/>
      <c r="C817" s="59"/>
      <c r="D817" s="60"/>
      <c r="E817" s="58"/>
    </row>
    <row r="818">
      <c r="A818" s="57"/>
      <c r="B818" s="58"/>
      <c r="C818" s="59"/>
      <c r="D818" s="60"/>
      <c r="E818" s="58"/>
    </row>
    <row r="819">
      <c r="A819" s="57"/>
      <c r="B819" s="58"/>
      <c r="C819" s="59"/>
      <c r="D819" s="60"/>
      <c r="E819" s="58"/>
    </row>
    <row r="820">
      <c r="A820" s="57"/>
      <c r="B820" s="58"/>
      <c r="D820" s="59"/>
      <c r="E820" s="58"/>
    </row>
    <row r="821">
      <c r="A821" s="57"/>
      <c r="B821" s="58"/>
      <c r="C821" s="59"/>
      <c r="D821" s="60"/>
      <c r="E821" s="58"/>
    </row>
    <row r="822">
      <c r="A822" s="57"/>
      <c r="B822" s="58"/>
      <c r="C822" s="59"/>
      <c r="D822" s="60"/>
      <c r="E822" s="58"/>
    </row>
    <row r="823">
      <c r="A823" s="57"/>
      <c r="B823" s="58"/>
      <c r="D823" s="59"/>
      <c r="E823" s="58"/>
    </row>
    <row r="824">
      <c r="A824" s="57"/>
      <c r="B824" s="58"/>
      <c r="C824" s="59"/>
      <c r="D824" s="60"/>
      <c r="E824" s="58"/>
    </row>
    <row r="825">
      <c r="A825" s="57"/>
      <c r="B825" s="58"/>
      <c r="C825" s="59"/>
      <c r="D825" s="60"/>
      <c r="E825" s="58"/>
    </row>
    <row r="826">
      <c r="A826" s="57"/>
      <c r="B826" s="58"/>
      <c r="C826" s="59"/>
      <c r="D826" s="60"/>
      <c r="E826" s="58"/>
    </row>
    <row r="827">
      <c r="A827" s="57"/>
      <c r="B827" s="58"/>
      <c r="C827" s="59"/>
      <c r="D827" s="60"/>
      <c r="E827" s="58"/>
    </row>
    <row r="828">
      <c r="A828" s="57"/>
      <c r="B828" s="58"/>
      <c r="C828" s="59"/>
      <c r="D828" s="60"/>
      <c r="E828" s="58"/>
    </row>
    <row r="829">
      <c r="A829" s="57"/>
      <c r="B829" s="58"/>
      <c r="C829" s="59"/>
      <c r="D829" s="60"/>
      <c r="E829" s="58"/>
    </row>
    <row r="830">
      <c r="A830" s="57"/>
      <c r="B830" s="58"/>
      <c r="C830" s="59"/>
      <c r="D830" s="60"/>
      <c r="E830" s="58"/>
    </row>
    <row r="831">
      <c r="A831" s="57"/>
      <c r="B831" s="58"/>
      <c r="C831" s="59"/>
      <c r="D831" s="60"/>
      <c r="E831" s="58"/>
    </row>
    <row r="832">
      <c r="A832" s="57"/>
      <c r="B832" s="58"/>
      <c r="D832" s="59"/>
      <c r="E832" s="58"/>
    </row>
    <row r="833">
      <c r="A833" s="57"/>
      <c r="B833" s="58"/>
      <c r="C833" s="59"/>
      <c r="D833" s="60"/>
      <c r="E833" s="58"/>
    </row>
    <row r="834">
      <c r="A834" s="57"/>
      <c r="B834" s="58"/>
      <c r="C834" s="59"/>
      <c r="D834" s="60"/>
      <c r="E834" s="58"/>
    </row>
    <row r="835">
      <c r="A835" s="57"/>
      <c r="B835" s="58"/>
      <c r="D835" s="59"/>
      <c r="E835" s="58"/>
    </row>
    <row r="836">
      <c r="A836" s="57"/>
      <c r="B836" s="58"/>
      <c r="D836" s="59"/>
      <c r="E836" s="58"/>
    </row>
    <row r="837">
      <c r="A837" s="57"/>
      <c r="B837" s="58"/>
      <c r="D837" s="59"/>
      <c r="E837" s="58"/>
    </row>
    <row r="838">
      <c r="A838" s="57"/>
      <c r="B838" s="58"/>
      <c r="C838" s="59"/>
      <c r="D838" s="60"/>
      <c r="E838" s="58"/>
    </row>
    <row r="839">
      <c r="A839" s="57"/>
      <c r="B839" s="58"/>
      <c r="C839" s="59"/>
      <c r="D839" s="60"/>
      <c r="E839" s="58"/>
    </row>
    <row r="840">
      <c r="A840" s="57"/>
      <c r="B840" s="58"/>
      <c r="C840" s="59"/>
      <c r="D840" s="60"/>
      <c r="E840" s="58"/>
    </row>
    <row r="841">
      <c r="A841" s="57"/>
      <c r="B841" s="58"/>
      <c r="D841" s="59"/>
      <c r="E841" s="58"/>
    </row>
    <row r="842">
      <c r="A842" s="57"/>
      <c r="B842" s="58"/>
      <c r="C842" s="59"/>
      <c r="D842" s="60"/>
      <c r="E842" s="58"/>
    </row>
    <row r="843">
      <c r="A843" s="57"/>
      <c r="B843" s="58"/>
      <c r="C843" s="59"/>
      <c r="D843" s="60"/>
      <c r="E843" s="58"/>
    </row>
    <row r="844">
      <c r="A844" s="57"/>
      <c r="B844" s="58"/>
      <c r="D844" s="59"/>
      <c r="E844" s="58"/>
    </row>
    <row r="845">
      <c r="A845" s="57"/>
      <c r="B845" s="58"/>
      <c r="D845" s="59"/>
      <c r="E845" s="58"/>
    </row>
    <row r="846">
      <c r="A846" s="57"/>
      <c r="B846" s="58"/>
      <c r="C846" s="59"/>
      <c r="D846" s="60"/>
      <c r="E846" s="58"/>
    </row>
    <row r="847">
      <c r="A847" s="57"/>
      <c r="B847" s="58"/>
      <c r="D847" s="59"/>
      <c r="E847" s="58"/>
    </row>
    <row r="848">
      <c r="A848" s="57"/>
      <c r="B848" s="58"/>
      <c r="D848" s="59"/>
      <c r="E848" s="58"/>
    </row>
    <row r="849">
      <c r="A849" s="57"/>
      <c r="B849" s="58"/>
      <c r="C849" s="59"/>
      <c r="D849" s="60"/>
      <c r="E849" s="58"/>
    </row>
    <row r="850">
      <c r="A850" s="57"/>
      <c r="B850" s="58"/>
      <c r="C850" s="59"/>
      <c r="D850" s="60"/>
      <c r="E850" s="58"/>
    </row>
    <row r="851">
      <c r="A851" s="57"/>
      <c r="B851" s="58"/>
      <c r="C851" s="59"/>
      <c r="D851" s="60"/>
      <c r="E851" s="58"/>
    </row>
    <row r="852">
      <c r="A852" s="57"/>
      <c r="B852" s="58"/>
      <c r="C852" s="59"/>
      <c r="D852" s="60"/>
      <c r="E852" s="58"/>
    </row>
    <row r="853">
      <c r="A853" s="57"/>
      <c r="B853" s="58"/>
      <c r="C853" s="59"/>
      <c r="D853" s="60"/>
      <c r="E853" s="58"/>
    </row>
    <row r="854">
      <c r="A854" s="57"/>
      <c r="B854" s="58"/>
      <c r="D854" s="59"/>
      <c r="E854" s="58"/>
    </row>
    <row r="855">
      <c r="A855" s="57"/>
      <c r="B855" s="58"/>
      <c r="C855" s="59"/>
      <c r="D855" s="60"/>
      <c r="E855" s="58"/>
    </row>
    <row r="856">
      <c r="A856" s="57"/>
      <c r="B856" s="58"/>
      <c r="D856" s="59"/>
      <c r="E856" s="58"/>
    </row>
    <row r="857">
      <c r="A857" s="57"/>
      <c r="B857" s="58"/>
      <c r="D857" s="59"/>
      <c r="E857" s="58"/>
    </row>
    <row r="858">
      <c r="A858" s="57"/>
      <c r="B858" s="58"/>
      <c r="D858" s="59"/>
      <c r="E858" s="58"/>
    </row>
    <row r="859">
      <c r="A859" s="57"/>
      <c r="B859" s="58"/>
      <c r="C859" s="59"/>
      <c r="D859" s="60"/>
      <c r="E859" s="58"/>
    </row>
    <row r="860">
      <c r="A860" s="57"/>
      <c r="B860" s="58"/>
      <c r="C860" s="59"/>
      <c r="D860" s="60"/>
      <c r="E860" s="58"/>
    </row>
    <row r="861">
      <c r="A861" s="57"/>
      <c r="B861" s="58"/>
      <c r="C861" s="59"/>
      <c r="D861" s="60"/>
      <c r="E861" s="58"/>
    </row>
    <row r="862">
      <c r="A862" s="57"/>
      <c r="B862" s="58"/>
      <c r="D862" s="59"/>
      <c r="E862" s="58"/>
    </row>
    <row r="863">
      <c r="A863" s="57"/>
      <c r="B863" s="58"/>
      <c r="D863" s="59"/>
      <c r="E863" s="58"/>
    </row>
    <row r="864">
      <c r="A864" s="57"/>
      <c r="B864" s="58"/>
      <c r="C864" s="59"/>
      <c r="D864" s="60"/>
      <c r="E864" s="58"/>
    </row>
    <row r="865">
      <c r="A865" s="57"/>
      <c r="B865" s="58"/>
      <c r="C865" s="59"/>
      <c r="D865" s="60"/>
      <c r="E865" s="58"/>
    </row>
    <row r="866">
      <c r="A866" s="57"/>
      <c r="B866" s="58"/>
      <c r="C866" s="59"/>
      <c r="D866" s="60"/>
      <c r="E866" s="58"/>
    </row>
    <row r="867">
      <c r="A867" s="57"/>
      <c r="B867" s="58"/>
      <c r="D867" s="59"/>
      <c r="E867" s="58"/>
    </row>
    <row r="868">
      <c r="A868" s="57"/>
      <c r="B868" s="58"/>
      <c r="D868" s="59"/>
      <c r="E868" s="58"/>
    </row>
    <row r="869">
      <c r="A869" s="57"/>
      <c r="B869" s="58"/>
      <c r="C869" s="59"/>
      <c r="D869" s="60"/>
      <c r="E869" s="58"/>
    </row>
    <row r="870">
      <c r="A870" s="57"/>
      <c r="B870" s="58"/>
      <c r="D870" s="59"/>
      <c r="E870" s="58"/>
    </row>
    <row r="871">
      <c r="A871" s="57"/>
      <c r="B871" s="58"/>
      <c r="C871" s="59"/>
      <c r="D871" s="60"/>
      <c r="E871" s="58"/>
    </row>
    <row r="872">
      <c r="A872" s="57"/>
      <c r="B872" s="58"/>
      <c r="D872" s="59"/>
      <c r="E872" s="58"/>
    </row>
    <row r="873">
      <c r="A873" s="57"/>
      <c r="B873" s="58"/>
      <c r="C873" s="59"/>
      <c r="D873" s="60"/>
      <c r="E873" s="58"/>
    </row>
    <row r="874">
      <c r="A874" s="57"/>
      <c r="B874" s="58"/>
      <c r="D874" s="59"/>
      <c r="E874" s="58"/>
    </row>
    <row r="875">
      <c r="A875" s="57"/>
      <c r="B875" s="58"/>
      <c r="D875" s="59"/>
      <c r="E875" s="58"/>
    </row>
    <row r="876">
      <c r="A876" s="57"/>
      <c r="B876" s="58"/>
      <c r="C876" s="59"/>
      <c r="D876" s="60"/>
      <c r="E876" s="58"/>
    </row>
    <row r="877">
      <c r="A877" s="57"/>
      <c r="B877" s="58"/>
      <c r="C877" s="59"/>
      <c r="D877" s="60"/>
      <c r="E877" s="58"/>
    </row>
    <row r="878">
      <c r="A878" s="57"/>
      <c r="B878" s="58"/>
      <c r="C878" s="59"/>
      <c r="D878" s="60"/>
      <c r="E878" s="58"/>
    </row>
    <row r="879">
      <c r="A879" s="57"/>
      <c r="B879" s="58"/>
      <c r="C879" s="59"/>
      <c r="D879" s="60"/>
      <c r="E879" s="58"/>
    </row>
    <row r="880">
      <c r="A880" s="57"/>
      <c r="B880" s="58"/>
      <c r="C880" s="59"/>
      <c r="D880" s="60"/>
      <c r="E880" s="58"/>
    </row>
    <row r="881">
      <c r="A881" s="57"/>
      <c r="B881" s="58"/>
      <c r="D881" s="59"/>
      <c r="E881" s="58"/>
    </row>
    <row r="882">
      <c r="A882" s="57"/>
      <c r="B882" s="58"/>
      <c r="D882" s="59"/>
      <c r="E882" s="58"/>
    </row>
    <row r="883">
      <c r="A883" s="57"/>
      <c r="B883" s="58"/>
      <c r="C883" s="59"/>
      <c r="D883" s="60"/>
      <c r="E883" s="58"/>
    </row>
    <row r="884">
      <c r="A884" s="57"/>
      <c r="B884" s="58"/>
      <c r="D884" s="59"/>
      <c r="E884" s="58"/>
    </row>
    <row r="885">
      <c r="A885" s="57"/>
      <c r="B885" s="58"/>
      <c r="C885" s="59"/>
      <c r="D885" s="60"/>
      <c r="E885" s="58"/>
    </row>
    <row r="886">
      <c r="A886" s="57"/>
      <c r="B886" s="58"/>
      <c r="D886" s="59"/>
      <c r="E886" s="58"/>
    </row>
    <row r="887">
      <c r="A887" s="57"/>
      <c r="B887" s="58"/>
      <c r="C887" s="59"/>
      <c r="D887" s="60"/>
      <c r="E887" s="58"/>
    </row>
    <row r="888">
      <c r="A888" s="57"/>
      <c r="B888" s="58"/>
      <c r="C888" s="59"/>
      <c r="D888" s="60"/>
      <c r="E888" s="58"/>
    </row>
    <row r="889">
      <c r="A889" s="57"/>
      <c r="B889" s="58"/>
      <c r="D889" s="59"/>
      <c r="E889" s="58"/>
    </row>
    <row r="890">
      <c r="A890" s="57"/>
      <c r="B890" s="58"/>
      <c r="D890" s="59"/>
      <c r="E890" s="58"/>
    </row>
    <row r="891">
      <c r="A891" s="57"/>
      <c r="B891" s="58"/>
      <c r="C891" s="59"/>
      <c r="D891" s="60"/>
      <c r="E891" s="58"/>
    </row>
    <row r="892">
      <c r="A892" s="57"/>
      <c r="B892" s="58"/>
      <c r="C892" s="59"/>
      <c r="D892" s="60"/>
      <c r="E892" s="58"/>
    </row>
    <row r="893">
      <c r="A893" s="57"/>
      <c r="B893" s="58"/>
      <c r="C893" s="59"/>
      <c r="D893" s="60"/>
      <c r="E893" s="58"/>
    </row>
    <row r="894">
      <c r="A894" s="57"/>
      <c r="B894" s="58"/>
      <c r="C894" s="59"/>
      <c r="D894" s="60"/>
      <c r="E894" s="58"/>
    </row>
    <row r="895">
      <c r="A895" s="57"/>
      <c r="B895" s="58"/>
      <c r="C895" s="59"/>
      <c r="D895" s="60"/>
      <c r="E895" s="58"/>
    </row>
    <row r="896">
      <c r="A896" s="57"/>
      <c r="B896" s="58"/>
      <c r="C896" s="59"/>
      <c r="D896" s="60"/>
      <c r="E896" s="58"/>
    </row>
    <row r="897">
      <c r="A897" s="57"/>
      <c r="B897" s="58"/>
      <c r="C897" s="59"/>
      <c r="D897" s="60"/>
      <c r="E897" s="58"/>
    </row>
    <row r="898">
      <c r="A898" s="57"/>
      <c r="B898" s="58"/>
      <c r="D898" s="59"/>
      <c r="E898" s="58"/>
    </row>
    <row r="899">
      <c r="A899" s="57"/>
      <c r="B899" s="58"/>
      <c r="C899" s="59"/>
      <c r="D899" s="60"/>
      <c r="E899" s="58"/>
    </row>
    <row r="900">
      <c r="A900" s="57"/>
      <c r="B900" s="58"/>
      <c r="C900" s="59"/>
      <c r="D900" s="60"/>
      <c r="E900" s="58"/>
    </row>
    <row r="901">
      <c r="A901" s="57"/>
      <c r="B901" s="58"/>
      <c r="D901" s="59"/>
      <c r="E901" s="58"/>
    </row>
    <row r="902">
      <c r="A902" s="57"/>
      <c r="B902" s="58"/>
      <c r="C902" s="59"/>
      <c r="D902" s="60"/>
      <c r="E902" s="58"/>
    </row>
    <row r="903">
      <c r="A903" s="57"/>
      <c r="B903" s="58"/>
      <c r="D903" s="59"/>
      <c r="E903" s="58"/>
    </row>
    <row r="904">
      <c r="A904" s="57"/>
      <c r="B904" s="58"/>
      <c r="C904" s="59"/>
      <c r="D904" s="60"/>
      <c r="E904" s="58"/>
    </row>
    <row r="905">
      <c r="A905" s="57"/>
      <c r="B905" s="58"/>
      <c r="C905" s="59"/>
      <c r="D905" s="60"/>
      <c r="E905" s="58"/>
    </row>
    <row r="906">
      <c r="A906" s="57"/>
      <c r="B906" s="58"/>
      <c r="C906" s="59"/>
      <c r="D906" s="60"/>
      <c r="E906" s="58"/>
    </row>
    <row r="907">
      <c r="A907" s="57"/>
      <c r="B907" s="58"/>
      <c r="C907" s="59"/>
      <c r="D907" s="60"/>
      <c r="E907" s="58"/>
    </row>
    <row r="908">
      <c r="A908" s="57"/>
      <c r="B908" s="58"/>
      <c r="D908" s="59"/>
      <c r="E908" s="58"/>
    </row>
    <row r="909">
      <c r="A909" s="57"/>
      <c r="B909" s="58"/>
      <c r="C909" s="59"/>
      <c r="D909" s="60"/>
      <c r="E909" s="58"/>
    </row>
    <row r="910">
      <c r="A910" s="57"/>
      <c r="B910" s="58"/>
      <c r="C910" s="59"/>
      <c r="D910" s="60"/>
      <c r="E910" s="58"/>
    </row>
    <row r="911">
      <c r="A911" s="57"/>
      <c r="B911" s="58"/>
      <c r="C911" s="59"/>
      <c r="D911" s="60"/>
      <c r="E911" s="58"/>
    </row>
    <row r="912">
      <c r="A912" s="57"/>
      <c r="B912" s="58"/>
      <c r="C912" s="59"/>
      <c r="D912" s="60"/>
      <c r="E912" s="58"/>
    </row>
    <row r="913">
      <c r="A913" s="57"/>
      <c r="B913" s="58"/>
      <c r="C913" s="59"/>
      <c r="D913" s="60"/>
      <c r="E913" s="58"/>
    </row>
    <row r="914">
      <c r="A914" s="57"/>
      <c r="B914" s="58"/>
      <c r="D914" s="59"/>
      <c r="E914" s="58"/>
    </row>
    <row r="915">
      <c r="A915" s="57"/>
      <c r="B915" s="58"/>
      <c r="C915" s="59"/>
      <c r="D915" s="60"/>
      <c r="E915" s="58"/>
    </row>
    <row r="916">
      <c r="A916" s="57"/>
      <c r="B916" s="58"/>
      <c r="C916" s="59"/>
      <c r="D916" s="60"/>
      <c r="E916" s="58"/>
    </row>
    <row r="917">
      <c r="A917" s="57"/>
      <c r="B917" s="58"/>
      <c r="C917" s="59"/>
      <c r="D917" s="60"/>
      <c r="E917" s="58"/>
    </row>
    <row r="918">
      <c r="A918" s="57"/>
      <c r="B918" s="58"/>
      <c r="C918" s="59"/>
      <c r="D918" s="60"/>
      <c r="E918" s="58"/>
    </row>
    <row r="919">
      <c r="A919" s="57"/>
      <c r="B919" s="58"/>
      <c r="C919" s="59"/>
      <c r="D919" s="60"/>
      <c r="E919" s="58"/>
    </row>
    <row r="920">
      <c r="A920" s="57"/>
      <c r="B920" s="58"/>
      <c r="C920" s="59"/>
      <c r="D920" s="60"/>
      <c r="E920" s="58"/>
    </row>
    <row r="921">
      <c r="A921" s="57"/>
      <c r="B921" s="58"/>
      <c r="C921" s="59"/>
      <c r="D921" s="60"/>
      <c r="E921" s="58"/>
    </row>
    <row r="922">
      <c r="A922" s="57"/>
      <c r="B922" s="58"/>
      <c r="C922" s="59"/>
      <c r="D922" s="60"/>
      <c r="E922" s="58"/>
    </row>
    <row r="923">
      <c r="A923" s="57"/>
      <c r="B923" s="58"/>
      <c r="D923" s="59"/>
      <c r="E923" s="58"/>
    </row>
    <row r="924">
      <c r="A924" s="57"/>
      <c r="B924" s="58"/>
      <c r="C924" s="59"/>
      <c r="D924" s="60"/>
      <c r="E924" s="58"/>
    </row>
    <row r="925">
      <c r="A925" s="57"/>
      <c r="B925" s="58"/>
      <c r="C925" s="59"/>
      <c r="D925" s="60"/>
      <c r="E925" s="58"/>
    </row>
    <row r="926">
      <c r="A926" s="57"/>
      <c r="B926" s="58"/>
      <c r="C926" s="59"/>
      <c r="D926" s="60"/>
      <c r="E926" s="58"/>
    </row>
    <row r="927">
      <c r="A927" s="57"/>
      <c r="B927" s="58"/>
      <c r="C927" s="59"/>
      <c r="D927" s="60"/>
      <c r="E927" s="58"/>
    </row>
    <row r="928">
      <c r="A928" s="57"/>
      <c r="B928" s="58"/>
      <c r="C928" s="59"/>
      <c r="D928" s="60"/>
      <c r="E928" s="58"/>
    </row>
    <row r="929">
      <c r="A929" s="57"/>
      <c r="B929" s="58"/>
      <c r="C929" s="59"/>
      <c r="D929" s="60"/>
      <c r="E929" s="58"/>
    </row>
    <row r="930">
      <c r="A930" s="57"/>
      <c r="B930" s="58"/>
      <c r="C930" s="59"/>
      <c r="D930" s="60"/>
      <c r="E930" s="58"/>
    </row>
    <row r="931">
      <c r="A931" s="57"/>
      <c r="B931" s="58"/>
      <c r="C931" s="59"/>
      <c r="D931" s="60"/>
      <c r="E931" s="58"/>
    </row>
    <row r="932">
      <c r="A932" s="57"/>
      <c r="B932" s="58"/>
      <c r="D932" s="59"/>
      <c r="E932" s="58"/>
    </row>
    <row r="933">
      <c r="A933" s="57"/>
      <c r="B933" s="58"/>
      <c r="D933" s="59"/>
      <c r="E933" s="58"/>
    </row>
    <row r="934">
      <c r="A934" s="57"/>
      <c r="B934" s="58"/>
      <c r="C934" s="59"/>
      <c r="D934" s="60"/>
      <c r="E934" s="58"/>
    </row>
    <row r="935">
      <c r="A935" s="57"/>
      <c r="B935" s="58"/>
      <c r="C935" s="59"/>
      <c r="D935" s="60"/>
      <c r="E935" s="58"/>
    </row>
    <row r="936">
      <c r="A936" s="57"/>
      <c r="B936" s="58"/>
      <c r="D936" s="59"/>
      <c r="E936" s="58"/>
    </row>
    <row r="937">
      <c r="A937" s="57"/>
      <c r="B937" s="58"/>
      <c r="C937" s="59"/>
      <c r="D937" s="60"/>
      <c r="E937" s="58"/>
    </row>
    <row r="938">
      <c r="A938" s="57"/>
      <c r="B938" s="58"/>
      <c r="C938" s="59"/>
      <c r="D938" s="60"/>
      <c r="E938" s="58"/>
    </row>
    <row r="939">
      <c r="A939" s="57"/>
      <c r="B939" s="58"/>
      <c r="C939" s="59"/>
      <c r="D939" s="60"/>
      <c r="E939" s="58"/>
    </row>
    <row r="940">
      <c r="A940" s="57"/>
      <c r="B940" s="58"/>
      <c r="C940" s="59"/>
      <c r="D940" s="60"/>
      <c r="E940" s="58"/>
    </row>
    <row r="941">
      <c r="A941" s="57"/>
      <c r="B941" s="58"/>
      <c r="C941" s="59"/>
      <c r="D941" s="60"/>
      <c r="E941" s="58"/>
    </row>
    <row r="942">
      <c r="A942" s="57"/>
      <c r="B942" s="58"/>
      <c r="C942" s="59"/>
      <c r="D942" s="60"/>
      <c r="E942" s="58"/>
    </row>
    <row r="943">
      <c r="A943" s="57"/>
      <c r="B943" s="58"/>
      <c r="D943" s="59"/>
      <c r="E943" s="58"/>
    </row>
    <row r="944">
      <c r="A944" s="57"/>
      <c r="B944" s="58"/>
      <c r="D944" s="59"/>
      <c r="E944" s="58"/>
    </row>
    <row r="945">
      <c r="A945" s="57"/>
      <c r="B945" s="58"/>
      <c r="D945" s="59"/>
      <c r="E945" s="58"/>
    </row>
    <row r="946">
      <c r="A946" s="57"/>
      <c r="B946" s="58"/>
      <c r="C946" s="59"/>
      <c r="D946" s="60"/>
      <c r="E946" s="58"/>
    </row>
    <row r="947">
      <c r="A947" s="57"/>
      <c r="B947" s="58"/>
      <c r="D947" s="59"/>
      <c r="E947" s="58"/>
    </row>
    <row r="948">
      <c r="A948" s="57"/>
      <c r="B948" s="58"/>
      <c r="D948" s="59"/>
      <c r="E948" s="58"/>
    </row>
    <row r="949">
      <c r="A949" s="57"/>
      <c r="B949" s="58"/>
      <c r="C949" s="59"/>
      <c r="D949" s="60"/>
      <c r="E949" s="58"/>
    </row>
    <row r="950">
      <c r="A950" s="57"/>
      <c r="B950" s="58"/>
      <c r="D950" s="59"/>
      <c r="E950" s="58"/>
    </row>
    <row r="951">
      <c r="A951" s="57"/>
      <c r="B951" s="58"/>
      <c r="D951" s="59"/>
      <c r="E951" s="58"/>
    </row>
    <row r="952">
      <c r="A952" s="57"/>
      <c r="B952" s="58"/>
      <c r="C952" s="59"/>
      <c r="D952" s="60"/>
      <c r="E952" s="58"/>
    </row>
    <row r="953">
      <c r="A953" s="57"/>
      <c r="B953" s="58"/>
      <c r="D953" s="59"/>
      <c r="E953" s="58"/>
    </row>
    <row r="954">
      <c r="A954" s="57"/>
      <c r="B954" s="58"/>
      <c r="C954" s="59"/>
      <c r="D954" s="60"/>
      <c r="E954" s="58"/>
    </row>
    <row r="955">
      <c r="A955" s="57"/>
      <c r="B955" s="58"/>
      <c r="D955" s="59"/>
      <c r="E955" s="58"/>
    </row>
    <row r="956">
      <c r="A956" s="57"/>
      <c r="B956" s="58"/>
      <c r="D956" s="59"/>
      <c r="E956" s="58"/>
    </row>
    <row r="957">
      <c r="A957" s="57"/>
      <c r="B957" s="58"/>
      <c r="C957" s="59"/>
      <c r="D957" s="60"/>
      <c r="E957" s="58"/>
    </row>
    <row r="958">
      <c r="A958" s="57"/>
      <c r="B958" s="58"/>
      <c r="C958" s="59"/>
      <c r="D958" s="60"/>
      <c r="E958" s="58"/>
    </row>
    <row r="959">
      <c r="A959" s="57"/>
      <c r="B959" s="58"/>
      <c r="C959" s="59"/>
      <c r="D959" s="60"/>
      <c r="E959" s="58"/>
    </row>
    <row r="960">
      <c r="A960" s="57"/>
      <c r="B960" s="58"/>
      <c r="C960" s="59"/>
      <c r="D960" s="60"/>
      <c r="E960" s="58"/>
    </row>
    <row r="961">
      <c r="A961" s="57"/>
      <c r="B961" s="58"/>
      <c r="C961" s="59"/>
      <c r="D961" s="60"/>
      <c r="E961" s="58"/>
    </row>
    <row r="962">
      <c r="A962" s="57"/>
      <c r="B962" s="58"/>
      <c r="D962" s="59"/>
      <c r="E962" s="58"/>
    </row>
    <row r="963">
      <c r="A963" s="57"/>
      <c r="B963" s="58"/>
      <c r="C963" s="59"/>
      <c r="D963" s="60"/>
      <c r="E963" s="58"/>
    </row>
    <row r="964">
      <c r="A964" s="57"/>
      <c r="B964" s="58"/>
      <c r="D964" s="59"/>
      <c r="E964" s="58"/>
    </row>
    <row r="965">
      <c r="A965" s="57"/>
      <c r="B965" s="58"/>
      <c r="C965" s="59"/>
      <c r="D965" s="60"/>
      <c r="E965" s="58"/>
    </row>
    <row r="966">
      <c r="A966" s="57"/>
      <c r="B966" s="58"/>
      <c r="C966" s="59"/>
      <c r="D966" s="60"/>
      <c r="E966" s="58"/>
    </row>
    <row r="967">
      <c r="A967" s="57"/>
      <c r="B967" s="58"/>
      <c r="D967" s="59"/>
      <c r="E967" s="58"/>
    </row>
    <row r="968">
      <c r="A968" s="57"/>
      <c r="B968" s="58"/>
      <c r="D968" s="59"/>
      <c r="E968" s="58"/>
    </row>
    <row r="969">
      <c r="A969" s="57"/>
      <c r="B969" s="58"/>
      <c r="C969" s="59"/>
      <c r="D969" s="60"/>
      <c r="E969" s="58"/>
    </row>
    <row r="970">
      <c r="A970" s="57"/>
      <c r="B970" s="58"/>
      <c r="D970" s="59"/>
      <c r="E970" s="58"/>
    </row>
    <row r="971">
      <c r="A971" s="57"/>
      <c r="B971" s="58"/>
      <c r="D971" s="59"/>
      <c r="E971" s="58"/>
    </row>
    <row r="972">
      <c r="A972" s="57"/>
      <c r="B972" s="58"/>
      <c r="C972" s="59"/>
      <c r="D972" s="60"/>
      <c r="E972" s="58"/>
    </row>
    <row r="973">
      <c r="A973" s="57"/>
      <c r="B973" s="58"/>
      <c r="C973" s="59"/>
      <c r="D973" s="60"/>
      <c r="E973" s="58"/>
    </row>
    <row r="974">
      <c r="A974" s="57"/>
      <c r="B974" s="58"/>
      <c r="C974" s="59"/>
      <c r="D974" s="60"/>
      <c r="E974" s="58"/>
    </row>
    <row r="975">
      <c r="A975" s="57"/>
      <c r="B975" s="58"/>
      <c r="C975" s="59"/>
      <c r="D975" s="60"/>
      <c r="E975" s="58"/>
    </row>
    <row r="976">
      <c r="A976" s="57"/>
      <c r="B976" s="58"/>
      <c r="C976" s="59"/>
      <c r="D976" s="60"/>
      <c r="E976" s="58"/>
    </row>
    <row r="977">
      <c r="A977" s="57"/>
      <c r="B977" s="58"/>
      <c r="D977" s="59"/>
      <c r="E977" s="58"/>
    </row>
    <row r="978">
      <c r="A978" s="57"/>
      <c r="B978" s="58"/>
      <c r="D978" s="59"/>
      <c r="E978" s="58"/>
    </row>
    <row r="979">
      <c r="A979" s="57"/>
      <c r="B979" s="58"/>
      <c r="C979" s="59"/>
      <c r="D979" s="60"/>
      <c r="E979" s="58"/>
    </row>
    <row r="980">
      <c r="A980" s="57"/>
      <c r="B980" s="58"/>
      <c r="D980" s="59"/>
      <c r="E980" s="58"/>
    </row>
    <row r="981">
      <c r="A981" s="57"/>
      <c r="B981" s="58"/>
      <c r="D981" s="59"/>
      <c r="E981" s="58"/>
    </row>
    <row r="982">
      <c r="A982" s="57"/>
      <c r="B982" s="58"/>
      <c r="D982" s="59"/>
      <c r="E982" s="58"/>
    </row>
    <row r="983">
      <c r="A983" s="57"/>
      <c r="B983" s="58"/>
      <c r="C983" s="59"/>
      <c r="D983" s="60"/>
      <c r="E983" s="58"/>
    </row>
    <row r="984">
      <c r="A984" s="57"/>
      <c r="B984" s="58"/>
      <c r="C984" s="59"/>
      <c r="D984" s="60"/>
      <c r="E984" s="58"/>
    </row>
    <row r="985">
      <c r="A985" s="57"/>
      <c r="B985" s="58"/>
      <c r="C985" s="59"/>
      <c r="D985" s="60"/>
      <c r="E985" s="58"/>
    </row>
    <row r="986">
      <c r="A986" s="57"/>
      <c r="B986" s="58"/>
      <c r="D986" s="59"/>
      <c r="E986" s="58"/>
    </row>
    <row r="987">
      <c r="A987" s="57"/>
      <c r="B987" s="58"/>
      <c r="C987" s="59"/>
      <c r="D987" s="60"/>
      <c r="E987" s="58"/>
    </row>
    <row r="988">
      <c r="A988" s="57"/>
      <c r="B988" s="58"/>
      <c r="D988" s="59"/>
      <c r="E988" s="58"/>
    </row>
    <row r="989">
      <c r="A989" s="57"/>
      <c r="B989" s="58"/>
      <c r="C989" s="59"/>
      <c r="D989" s="60"/>
      <c r="E989" s="58"/>
    </row>
    <row r="990">
      <c r="A990" s="57"/>
      <c r="B990" s="58"/>
      <c r="C990" s="59"/>
      <c r="D990" s="60"/>
      <c r="E990" s="58"/>
    </row>
    <row r="991">
      <c r="A991" s="57"/>
      <c r="B991" s="58"/>
      <c r="C991" s="59"/>
      <c r="D991" s="60"/>
      <c r="E991" s="58"/>
    </row>
    <row r="992">
      <c r="A992" s="57"/>
      <c r="B992" s="58"/>
      <c r="C992" s="59"/>
      <c r="D992" s="60"/>
      <c r="E992" s="58"/>
    </row>
    <row r="993">
      <c r="A993" s="57"/>
      <c r="B993" s="58"/>
      <c r="C993" s="59"/>
      <c r="D993" s="60"/>
      <c r="E993" s="58"/>
    </row>
    <row r="994">
      <c r="A994" s="57"/>
      <c r="B994" s="58"/>
      <c r="C994" s="59"/>
      <c r="D994" s="60"/>
      <c r="E994" s="58"/>
    </row>
    <row r="995">
      <c r="A995" s="57"/>
      <c r="B995" s="58"/>
      <c r="D995" s="59"/>
      <c r="E995" s="58"/>
    </row>
    <row r="996">
      <c r="A996" s="57"/>
      <c r="B996" s="58"/>
      <c r="D996" s="59"/>
      <c r="E996" s="58"/>
    </row>
    <row r="997">
      <c r="A997" s="57"/>
      <c r="B997" s="58"/>
      <c r="D997" s="59"/>
      <c r="E997" s="58"/>
    </row>
    <row r="998">
      <c r="A998" s="57"/>
      <c r="B998" s="58"/>
      <c r="D998" s="59"/>
      <c r="E998" s="58"/>
    </row>
    <row r="999">
      <c r="A999" s="57"/>
      <c r="B999" s="58"/>
      <c r="D999" s="59"/>
      <c r="E999" s="58"/>
    </row>
    <row r="1000">
      <c r="A1000" s="57"/>
      <c r="B1000" s="58"/>
      <c r="D1000" s="59"/>
      <c r="E1000" s="58"/>
    </row>
    <row r="1001">
      <c r="A1001" s="57"/>
      <c r="B1001" s="58"/>
      <c r="C1001" s="59"/>
      <c r="D1001" s="60"/>
      <c r="E1001" s="58"/>
    </row>
    <row r="1002">
      <c r="A1002" s="57"/>
      <c r="B1002" s="58"/>
      <c r="C1002" s="59"/>
      <c r="D1002" s="60"/>
      <c r="E1002" s="58"/>
    </row>
    <row r="1003">
      <c r="A1003" s="57"/>
      <c r="B1003" s="58"/>
      <c r="C1003" s="59"/>
      <c r="D1003" s="60"/>
      <c r="E1003" s="58"/>
    </row>
    <row r="1004">
      <c r="A1004" s="57"/>
      <c r="B1004" s="58"/>
      <c r="C1004" s="59"/>
      <c r="D1004" s="60"/>
      <c r="E1004" s="58"/>
    </row>
    <row r="1005">
      <c r="A1005" s="57"/>
      <c r="B1005" s="58"/>
      <c r="C1005" s="59"/>
      <c r="D1005" s="60"/>
      <c r="E1005" s="58"/>
    </row>
    <row r="1006">
      <c r="A1006" s="57"/>
      <c r="B1006" s="58"/>
      <c r="D1006" s="59"/>
      <c r="E1006" s="58"/>
    </row>
    <row r="1007">
      <c r="A1007" s="57"/>
      <c r="B1007" s="58"/>
      <c r="D1007" s="59"/>
      <c r="E1007" s="58"/>
    </row>
    <row r="1008">
      <c r="A1008" s="57"/>
      <c r="B1008" s="58"/>
      <c r="D1008" s="59"/>
      <c r="E1008" s="58"/>
    </row>
    <row r="1009">
      <c r="A1009" s="57"/>
      <c r="B1009" s="58"/>
      <c r="C1009" s="59"/>
      <c r="D1009" s="60"/>
      <c r="E1009" s="58"/>
    </row>
    <row r="1010">
      <c r="A1010" s="57"/>
      <c r="B1010" s="58"/>
      <c r="C1010" s="59"/>
      <c r="D1010" s="60"/>
      <c r="E1010" s="58"/>
    </row>
    <row r="1011">
      <c r="A1011" s="57"/>
      <c r="B1011" s="58"/>
      <c r="C1011" s="59"/>
      <c r="D1011" s="60"/>
      <c r="E1011" s="58"/>
    </row>
    <row r="1012">
      <c r="A1012" s="57"/>
      <c r="B1012" s="58"/>
      <c r="D1012" s="59"/>
      <c r="E1012" s="58"/>
    </row>
    <row r="1013">
      <c r="A1013" s="57"/>
      <c r="B1013" s="58"/>
      <c r="C1013" s="59"/>
      <c r="D1013" s="60"/>
      <c r="E1013" s="58"/>
    </row>
    <row r="1014">
      <c r="A1014" s="57"/>
      <c r="B1014" s="58"/>
      <c r="C1014" s="59"/>
      <c r="D1014" s="60"/>
      <c r="E1014" s="58"/>
    </row>
    <row r="1015">
      <c r="A1015" s="57"/>
      <c r="B1015" s="58"/>
      <c r="D1015" s="59"/>
      <c r="E1015" s="58"/>
    </row>
    <row r="1016">
      <c r="A1016" s="57"/>
      <c r="B1016" s="58"/>
      <c r="D1016" s="59"/>
      <c r="E1016" s="58"/>
    </row>
    <row r="1017">
      <c r="A1017" s="57"/>
      <c r="B1017" s="58"/>
      <c r="C1017" s="59"/>
      <c r="D1017" s="60"/>
      <c r="E1017" s="58"/>
    </row>
    <row r="1018">
      <c r="A1018" s="57"/>
      <c r="B1018" s="58"/>
      <c r="C1018" s="59"/>
      <c r="D1018" s="60"/>
      <c r="E1018" s="58"/>
    </row>
    <row r="1019">
      <c r="A1019" s="57"/>
      <c r="B1019" s="58"/>
      <c r="D1019" s="59"/>
      <c r="E1019" s="58"/>
    </row>
    <row r="1020">
      <c r="A1020" s="57"/>
      <c r="B1020" s="58"/>
      <c r="C1020" s="59"/>
      <c r="D1020" s="60"/>
      <c r="E1020" s="58"/>
    </row>
    <row r="1021">
      <c r="A1021" s="57"/>
      <c r="B1021" s="58"/>
      <c r="C1021" s="59"/>
      <c r="D1021" s="60"/>
      <c r="E1021" s="58"/>
    </row>
    <row r="1022">
      <c r="A1022" s="57"/>
      <c r="B1022" s="58"/>
      <c r="D1022" s="59"/>
      <c r="E1022" s="58"/>
    </row>
    <row r="1023">
      <c r="A1023" s="57"/>
      <c r="B1023" s="58"/>
      <c r="D1023" s="59"/>
      <c r="E1023" s="58"/>
    </row>
    <row r="1024">
      <c r="A1024" s="57"/>
      <c r="B1024" s="58"/>
      <c r="D1024" s="59"/>
      <c r="E1024" s="58"/>
    </row>
    <row r="1025">
      <c r="A1025" s="57"/>
      <c r="B1025" s="58"/>
      <c r="C1025" s="59"/>
      <c r="D1025" s="60"/>
      <c r="E1025" s="58"/>
    </row>
    <row r="1026">
      <c r="A1026" s="57"/>
      <c r="B1026" s="58"/>
      <c r="D1026" s="59"/>
      <c r="E1026" s="58"/>
    </row>
    <row r="1027">
      <c r="A1027" s="57"/>
      <c r="B1027" s="58"/>
      <c r="C1027" s="59"/>
      <c r="D1027" s="60"/>
      <c r="E1027" s="58"/>
    </row>
    <row r="1028">
      <c r="A1028" s="57"/>
      <c r="B1028" s="58"/>
      <c r="D1028" s="59"/>
      <c r="E1028" s="58"/>
    </row>
    <row r="1029">
      <c r="A1029" s="57"/>
      <c r="B1029" s="58"/>
      <c r="C1029" s="59"/>
      <c r="D1029" s="60"/>
      <c r="E1029" s="58"/>
    </row>
    <row r="1030">
      <c r="A1030" s="57"/>
      <c r="B1030" s="58"/>
      <c r="D1030" s="59"/>
      <c r="E1030" s="58"/>
    </row>
    <row r="1031">
      <c r="A1031" s="57"/>
      <c r="B1031" s="58"/>
      <c r="C1031" s="59"/>
      <c r="D1031" s="60"/>
      <c r="E1031" s="58"/>
    </row>
    <row r="1032">
      <c r="A1032" s="57"/>
      <c r="B1032" s="58"/>
      <c r="C1032" s="59"/>
      <c r="D1032" s="60"/>
      <c r="E1032" s="58"/>
    </row>
    <row r="1033">
      <c r="A1033" s="57"/>
      <c r="B1033" s="58"/>
      <c r="D1033" s="59"/>
      <c r="E1033" s="58"/>
    </row>
    <row r="1034">
      <c r="A1034" s="57"/>
      <c r="B1034" s="58"/>
      <c r="C1034" s="59"/>
      <c r="D1034" s="60"/>
      <c r="E1034" s="58"/>
    </row>
    <row r="1035">
      <c r="A1035" s="57"/>
      <c r="B1035" s="58"/>
      <c r="C1035" s="59"/>
      <c r="D1035" s="60"/>
      <c r="E1035" s="58"/>
    </row>
    <row r="1036">
      <c r="A1036" s="57"/>
      <c r="B1036" s="58"/>
      <c r="D1036" s="59"/>
      <c r="E1036" s="58"/>
    </row>
    <row r="1037">
      <c r="A1037" s="57"/>
      <c r="B1037" s="58"/>
      <c r="D1037" s="59"/>
      <c r="E1037" s="58"/>
    </row>
    <row r="1038">
      <c r="A1038" s="57"/>
      <c r="B1038" s="58"/>
      <c r="D1038" s="59"/>
      <c r="E1038" s="58"/>
    </row>
    <row r="1039">
      <c r="A1039" s="57"/>
      <c r="B1039" s="58"/>
      <c r="C1039" s="59"/>
      <c r="D1039" s="60"/>
      <c r="E1039" s="58"/>
    </row>
    <row r="1040">
      <c r="A1040" s="57"/>
      <c r="B1040" s="58"/>
      <c r="C1040" s="59"/>
      <c r="D1040" s="60"/>
      <c r="E1040" s="58"/>
    </row>
    <row r="1041">
      <c r="A1041" s="57"/>
      <c r="B1041" s="58"/>
      <c r="D1041" s="59"/>
      <c r="E1041" s="58"/>
    </row>
    <row r="1042">
      <c r="A1042" s="57"/>
      <c r="B1042" s="58"/>
      <c r="C1042" s="59"/>
      <c r="D1042" s="60"/>
      <c r="E1042" s="58"/>
    </row>
    <row r="1043">
      <c r="A1043" s="57"/>
      <c r="B1043" s="58"/>
      <c r="D1043" s="59"/>
      <c r="E1043" s="58"/>
    </row>
    <row r="1044">
      <c r="A1044" s="57"/>
      <c r="B1044" s="58"/>
      <c r="D1044" s="59"/>
      <c r="E1044" s="58"/>
    </row>
    <row r="1045">
      <c r="A1045" s="57"/>
      <c r="B1045" s="58"/>
      <c r="D1045" s="59"/>
      <c r="E1045" s="58"/>
    </row>
    <row r="1046">
      <c r="A1046" s="57"/>
      <c r="B1046" s="58"/>
      <c r="D1046" s="59"/>
      <c r="E1046" s="58"/>
    </row>
    <row r="1047">
      <c r="A1047" s="57"/>
      <c r="B1047" s="58"/>
      <c r="C1047" s="59"/>
      <c r="D1047" s="60"/>
      <c r="E1047" s="58"/>
    </row>
    <row r="1048">
      <c r="A1048" s="57"/>
      <c r="B1048" s="58"/>
      <c r="C1048" s="59"/>
      <c r="D1048" s="60"/>
      <c r="E1048" s="58"/>
    </row>
    <row r="1049">
      <c r="A1049" s="57"/>
      <c r="B1049" s="58"/>
      <c r="C1049" s="59"/>
      <c r="D1049" s="60"/>
      <c r="E1049" s="58"/>
    </row>
    <row r="1050">
      <c r="A1050" s="57"/>
      <c r="B1050" s="58"/>
      <c r="D1050" s="59"/>
      <c r="E1050" s="58"/>
    </row>
    <row r="1051">
      <c r="A1051" s="57"/>
      <c r="B1051" s="58"/>
      <c r="D1051" s="59"/>
      <c r="E1051" s="58"/>
    </row>
    <row r="1052">
      <c r="A1052" s="57"/>
      <c r="B1052" s="58"/>
      <c r="D1052" s="59"/>
      <c r="E1052" s="58"/>
    </row>
    <row r="1053">
      <c r="A1053" s="57"/>
      <c r="B1053" s="58"/>
      <c r="C1053" s="59"/>
      <c r="D1053" s="60"/>
      <c r="E1053" s="58"/>
    </row>
    <row r="1054">
      <c r="A1054" s="57"/>
      <c r="B1054" s="58"/>
      <c r="C1054" s="59"/>
      <c r="D1054" s="60"/>
      <c r="E1054" s="58"/>
    </row>
    <row r="1055">
      <c r="A1055" s="57"/>
      <c r="B1055" s="58"/>
      <c r="D1055" s="59"/>
      <c r="E1055" s="58"/>
    </row>
    <row r="1056">
      <c r="A1056" s="57"/>
      <c r="B1056" s="58"/>
      <c r="C1056" s="59"/>
      <c r="D1056" s="60"/>
      <c r="E1056" s="58"/>
    </row>
    <row r="1057">
      <c r="A1057" s="57"/>
      <c r="B1057" s="58"/>
      <c r="C1057" s="59"/>
      <c r="D1057" s="60"/>
      <c r="E1057" s="58"/>
    </row>
    <row r="1058">
      <c r="A1058" s="57"/>
      <c r="B1058" s="58"/>
      <c r="C1058" s="59"/>
      <c r="D1058" s="60"/>
      <c r="E1058" s="58"/>
    </row>
    <row r="1059">
      <c r="A1059" s="57"/>
      <c r="B1059" s="58"/>
      <c r="D1059" s="59"/>
      <c r="E1059" s="58"/>
    </row>
    <row r="1060">
      <c r="A1060" s="57"/>
      <c r="B1060" s="58"/>
      <c r="D1060" s="59"/>
      <c r="E1060" s="58"/>
    </row>
    <row r="1061">
      <c r="A1061" s="57"/>
      <c r="B1061" s="58"/>
      <c r="D1061" s="59"/>
      <c r="E1061" s="58"/>
    </row>
    <row r="1062">
      <c r="A1062" s="57"/>
      <c r="B1062" s="58"/>
      <c r="D1062" s="59"/>
      <c r="E1062" s="58"/>
    </row>
    <row r="1063">
      <c r="A1063" s="57"/>
      <c r="B1063" s="58"/>
      <c r="D1063" s="59"/>
      <c r="E1063" s="58"/>
    </row>
    <row r="1064">
      <c r="A1064" s="57"/>
      <c r="B1064" s="58"/>
      <c r="C1064" s="59"/>
      <c r="D1064" s="60"/>
      <c r="E1064" s="58"/>
    </row>
    <row r="1065">
      <c r="A1065" s="57"/>
      <c r="B1065" s="58"/>
      <c r="C1065" s="59"/>
      <c r="D1065" s="60"/>
      <c r="E1065" s="58"/>
    </row>
    <row r="1066">
      <c r="A1066" s="57"/>
      <c r="B1066" s="58"/>
      <c r="C1066" s="59"/>
      <c r="D1066" s="60"/>
      <c r="E1066" s="58"/>
    </row>
    <row r="1067">
      <c r="A1067" s="57"/>
      <c r="B1067" s="58"/>
      <c r="C1067" s="59"/>
      <c r="D1067" s="60"/>
      <c r="E1067" s="58"/>
    </row>
    <row r="1068">
      <c r="A1068" s="57"/>
      <c r="B1068" s="58"/>
      <c r="C1068" s="59"/>
      <c r="D1068" s="60"/>
      <c r="E1068" s="58"/>
    </row>
    <row r="1069">
      <c r="A1069" s="57"/>
      <c r="B1069" s="58"/>
      <c r="C1069" s="59"/>
      <c r="D1069" s="60"/>
      <c r="E1069" s="58"/>
    </row>
    <row r="1070">
      <c r="A1070" s="57"/>
      <c r="B1070" s="58"/>
      <c r="C1070" s="59"/>
      <c r="D1070" s="60"/>
      <c r="E1070" s="58"/>
    </row>
    <row r="1071">
      <c r="A1071" s="57"/>
      <c r="B1071" s="58"/>
      <c r="D1071" s="59"/>
      <c r="E1071" s="58"/>
    </row>
    <row r="1072">
      <c r="A1072" s="57"/>
      <c r="B1072" s="58"/>
      <c r="D1072" s="59"/>
      <c r="E1072" s="58"/>
    </row>
    <row r="1073">
      <c r="A1073" s="57"/>
      <c r="B1073" s="58"/>
      <c r="D1073" s="59"/>
      <c r="E1073" s="58"/>
    </row>
    <row r="1074">
      <c r="A1074" s="57"/>
      <c r="B1074" s="58"/>
      <c r="C1074" s="59"/>
      <c r="D1074" s="60"/>
      <c r="E1074" s="58"/>
    </row>
    <row r="1075">
      <c r="A1075" s="57"/>
      <c r="B1075" s="58"/>
      <c r="C1075" s="59"/>
      <c r="D1075" s="60"/>
      <c r="E1075" s="58"/>
    </row>
    <row r="1076">
      <c r="A1076" s="57"/>
      <c r="B1076" s="58"/>
      <c r="C1076" s="59"/>
      <c r="D1076" s="60"/>
      <c r="E1076" s="58"/>
    </row>
    <row r="1077">
      <c r="A1077" s="57"/>
      <c r="B1077" s="58"/>
      <c r="C1077" s="59"/>
      <c r="D1077" s="60"/>
      <c r="E1077" s="58"/>
    </row>
    <row r="1078">
      <c r="A1078" s="57"/>
      <c r="B1078" s="58"/>
      <c r="C1078" s="59"/>
      <c r="D1078" s="60"/>
      <c r="E1078" s="58"/>
    </row>
    <row r="1079">
      <c r="A1079" s="57"/>
      <c r="B1079" s="58"/>
      <c r="C1079" s="59"/>
      <c r="D1079" s="60"/>
      <c r="E1079" s="58"/>
    </row>
    <row r="1080">
      <c r="A1080" s="57"/>
      <c r="B1080" s="58"/>
      <c r="C1080" s="59"/>
      <c r="D1080" s="60"/>
      <c r="E1080" s="58"/>
    </row>
    <row r="1081">
      <c r="A1081" s="57"/>
      <c r="B1081" s="58"/>
      <c r="D1081" s="59"/>
      <c r="E1081" s="58"/>
    </row>
    <row r="1082">
      <c r="A1082" s="57"/>
      <c r="B1082" s="58"/>
      <c r="D1082" s="59"/>
      <c r="E1082" s="58"/>
    </row>
    <row r="1083">
      <c r="A1083" s="57"/>
      <c r="B1083" s="58"/>
      <c r="C1083" s="59"/>
      <c r="D1083" s="60"/>
      <c r="E1083" s="58"/>
    </row>
    <row r="1084">
      <c r="A1084" s="57"/>
      <c r="B1084" s="58"/>
      <c r="D1084" s="59"/>
      <c r="E1084" s="58"/>
    </row>
    <row r="1085">
      <c r="A1085" s="57"/>
      <c r="B1085" s="58"/>
      <c r="C1085" s="59"/>
      <c r="D1085" s="60"/>
      <c r="E1085" s="58"/>
    </row>
    <row r="1086">
      <c r="A1086" s="57"/>
      <c r="B1086" s="58"/>
      <c r="C1086" s="59"/>
      <c r="D1086" s="60"/>
      <c r="E1086" s="58"/>
    </row>
    <row r="1087">
      <c r="A1087" s="57"/>
      <c r="B1087" s="58"/>
      <c r="C1087" s="59"/>
      <c r="D1087" s="60"/>
      <c r="E1087" s="58"/>
    </row>
    <row r="1088">
      <c r="A1088" s="57"/>
      <c r="B1088" s="58"/>
      <c r="C1088" s="59"/>
      <c r="D1088" s="60"/>
      <c r="E1088" s="58"/>
    </row>
    <row r="1089">
      <c r="A1089" s="57"/>
      <c r="B1089" s="58"/>
      <c r="C1089" s="59"/>
      <c r="D1089" s="60"/>
      <c r="E1089" s="58"/>
    </row>
    <row r="1090">
      <c r="A1090" s="57"/>
      <c r="B1090" s="58"/>
      <c r="C1090" s="59"/>
      <c r="D1090" s="60"/>
      <c r="E1090" s="58"/>
    </row>
    <row r="1091">
      <c r="A1091" s="57"/>
      <c r="B1091" s="58"/>
      <c r="C1091" s="59"/>
      <c r="D1091" s="60"/>
      <c r="E1091" s="58"/>
    </row>
    <row r="1092">
      <c r="A1092" s="57"/>
      <c r="B1092" s="58"/>
      <c r="C1092" s="59"/>
      <c r="D1092" s="60"/>
      <c r="E1092" s="58"/>
    </row>
    <row r="1093">
      <c r="A1093" s="57"/>
      <c r="B1093" s="58"/>
      <c r="D1093" s="59"/>
      <c r="E1093" s="58"/>
    </row>
    <row r="1094">
      <c r="A1094" s="57"/>
      <c r="B1094" s="58"/>
      <c r="D1094" s="59"/>
      <c r="E1094" s="58"/>
    </row>
    <row r="1095">
      <c r="A1095" s="57"/>
      <c r="B1095" s="58"/>
      <c r="D1095" s="59"/>
      <c r="E1095" s="58"/>
    </row>
    <row r="1096">
      <c r="A1096" s="57"/>
      <c r="B1096" s="58"/>
      <c r="D1096" s="59"/>
      <c r="E1096" s="58"/>
    </row>
    <row r="1097">
      <c r="A1097" s="57"/>
      <c r="B1097" s="58"/>
      <c r="C1097" s="59"/>
      <c r="D1097" s="60"/>
      <c r="E1097" s="58"/>
    </row>
    <row r="1098">
      <c r="A1098" s="57"/>
      <c r="B1098" s="58"/>
      <c r="D1098" s="59"/>
      <c r="E1098" s="58"/>
    </row>
    <row r="1099">
      <c r="A1099" s="57"/>
      <c r="B1099" s="58"/>
      <c r="C1099" s="59"/>
      <c r="D1099" s="60"/>
      <c r="E1099" s="58"/>
    </row>
    <row r="1100">
      <c r="A1100" s="57"/>
      <c r="B1100" s="58"/>
      <c r="C1100" s="59"/>
      <c r="D1100" s="60"/>
      <c r="E1100" s="58"/>
    </row>
    <row r="1101">
      <c r="A1101" s="57"/>
      <c r="B1101" s="58"/>
      <c r="C1101" s="59"/>
      <c r="D1101" s="60"/>
      <c r="E1101" s="58"/>
    </row>
    <row r="1102">
      <c r="A1102" s="57"/>
      <c r="B1102" s="58"/>
      <c r="C1102" s="59"/>
      <c r="D1102" s="60"/>
      <c r="E1102" s="58"/>
    </row>
    <row r="1103">
      <c r="A1103" s="57"/>
      <c r="B1103" s="58"/>
      <c r="D1103" s="59"/>
      <c r="E1103" s="58"/>
    </row>
    <row r="1104">
      <c r="A1104" s="57"/>
      <c r="B1104" s="58"/>
      <c r="D1104" s="59"/>
      <c r="E1104" s="58"/>
    </row>
    <row r="1105">
      <c r="A1105" s="57"/>
      <c r="B1105" s="58"/>
      <c r="C1105" s="59"/>
      <c r="D1105" s="60"/>
      <c r="E1105" s="58"/>
    </row>
    <row r="1106">
      <c r="A1106" s="57"/>
      <c r="B1106" s="58"/>
      <c r="C1106" s="59"/>
      <c r="D1106" s="60"/>
      <c r="E1106" s="58"/>
    </row>
    <row r="1107">
      <c r="A1107" s="57"/>
      <c r="B1107" s="58"/>
      <c r="D1107" s="59"/>
      <c r="E1107" s="58"/>
    </row>
    <row r="1108">
      <c r="A1108" s="57"/>
      <c r="B1108" s="58"/>
      <c r="C1108" s="59"/>
      <c r="D1108" s="60"/>
      <c r="E1108" s="58"/>
    </row>
    <row r="1109">
      <c r="A1109" s="57"/>
      <c r="B1109" s="58"/>
      <c r="C1109" s="59"/>
      <c r="D1109" s="60"/>
      <c r="E1109" s="58"/>
    </row>
    <row r="1110">
      <c r="A1110" s="57"/>
      <c r="B1110" s="58"/>
      <c r="D1110" s="59"/>
      <c r="E1110" s="58"/>
    </row>
    <row r="1111">
      <c r="A1111" s="57"/>
      <c r="B1111" s="58"/>
      <c r="C1111" s="59"/>
      <c r="D1111" s="60"/>
      <c r="E1111" s="58"/>
    </row>
    <row r="1112">
      <c r="A1112" s="57"/>
      <c r="B1112" s="58"/>
      <c r="C1112" s="59"/>
      <c r="D1112" s="60"/>
      <c r="E1112" s="58"/>
    </row>
    <row r="1113">
      <c r="A1113" s="57"/>
      <c r="B1113" s="58"/>
      <c r="C1113" s="59"/>
      <c r="D1113" s="60"/>
      <c r="E1113" s="58"/>
    </row>
    <row r="1114">
      <c r="A1114" s="57"/>
      <c r="B1114" s="58"/>
      <c r="D1114" s="59"/>
      <c r="E1114" s="58"/>
    </row>
    <row r="1115">
      <c r="A1115" s="57"/>
      <c r="B1115" s="58"/>
      <c r="C1115" s="59"/>
      <c r="D1115" s="60"/>
      <c r="E1115" s="58"/>
    </row>
    <row r="1116">
      <c r="A1116" s="57"/>
      <c r="B1116" s="58"/>
      <c r="C1116" s="59"/>
      <c r="D1116" s="60"/>
      <c r="E1116" s="58"/>
    </row>
    <row r="1117">
      <c r="A1117" s="57"/>
      <c r="B1117" s="58"/>
      <c r="D1117" s="59"/>
      <c r="E1117" s="58"/>
    </row>
    <row r="1118">
      <c r="A1118" s="57"/>
      <c r="B1118" s="58"/>
      <c r="C1118" s="59"/>
      <c r="D1118" s="60"/>
      <c r="E1118" s="58"/>
    </row>
    <row r="1119">
      <c r="A1119" s="57"/>
      <c r="B1119" s="58"/>
      <c r="D1119" s="59"/>
      <c r="E1119" s="58"/>
    </row>
    <row r="1120">
      <c r="A1120" s="57"/>
      <c r="B1120" s="58"/>
      <c r="C1120" s="59"/>
      <c r="D1120" s="60"/>
      <c r="E1120" s="58"/>
    </row>
    <row r="1121">
      <c r="A1121" s="57"/>
      <c r="B1121" s="58"/>
      <c r="C1121" s="59"/>
      <c r="D1121" s="60"/>
      <c r="E1121" s="58"/>
    </row>
    <row r="1122">
      <c r="A1122" s="57"/>
      <c r="B1122" s="58"/>
      <c r="C1122" s="59"/>
      <c r="D1122" s="60"/>
      <c r="E1122" s="58"/>
    </row>
    <row r="1123">
      <c r="A1123" s="57"/>
      <c r="B1123" s="58"/>
      <c r="C1123" s="59"/>
      <c r="D1123" s="60"/>
      <c r="E1123" s="58"/>
    </row>
    <row r="1124">
      <c r="A1124" s="57"/>
      <c r="B1124" s="58"/>
      <c r="C1124" s="59"/>
      <c r="D1124" s="60"/>
      <c r="E1124" s="58"/>
    </row>
    <row r="1125">
      <c r="A1125" s="57"/>
      <c r="B1125" s="58"/>
      <c r="C1125" s="59"/>
      <c r="D1125" s="60"/>
      <c r="E1125" s="58"/>
    </row>
    <row r="1126">
      <c r="A1126" s="57"/>
      <c r="B1126" s="58"/>
      <c r="D1126" s="59"/>
      <c r="E1126" s="58"/>
    </row>
    <row r="1127">
      <c r="A1127" s="57"/>
      <c r="B1127" s="58"/>
      <c r="C1127" s="59"/>
      <c r="D1127" s="60"/>
      <c r="E1127" s="58"/>
    </row>
    <row r="1128">
      <c r="A1128" s="57"/>
      <c r="B1128" s="58"/>
      <c r="C1128" s="59"/>
      <c r="D1128" s="60"/>
      <c r="E1128" s="58"/>
    </row>
    <row r="1129">
      <c r="A1129" s="57"/>
      <c r="B1129" s="58"/>
      <c r="C1129" s="59"/>
      <c r="D1129" s="60"/>
      <c r="E1129" s="58"/>
    </row>
    <row r="1130">
      <c r="A1130" s="57"/>
      <c r="B1130" s="58"/>
      <c r="C1130" s="59"/>
      <c r="D1130" s="60"/>
      <c r="E1130" s="58"/>
    </row>
    <row r="1131">
      <c r="A1131" s="57"/>
      <c r="B1131" s="58"/>
      <c r="D1131" s="59"/>
      <c r="E1131" s="58"/>
    </row>
    <row r="1132">
      <c r="A1132" s="57"/>
      <c r="B1132" s="58"/>
      <c r="D1132" s="59"/>
      <c r="E1132" s="58"/>
    </row>
    <row r="1133">
      <c r="A1133" s="57"/>
      <c r="B1133" s="58"/>
      <c r="D1133" s="59"/>
      <c r="E1133" s="58"/>
    </row>
    <row r="1134">
      <c r="A1134" s="57"/>
      <c r="B1134" s="58"/>
      <c r="C1134" s="59"/>
      <c r="D1134" s="60"/>
      <c r="E1134" s="58"/>
    </row>
    <row r="1135">
      <c r="A1135" s="57"/>
      <c r="B1135" s="58"/>
      <c r="D1135" s="59"/>
      <c r="E1135" s="58"/>
    </row>
    <row r="1136">
      <c r="A1136" s="57"/>
      <c r="B1136" s="58"/>
      <c r="C1136" s="59"/>
      <c r="D1136" s="60"/>
      <c r="E1136" s="58"/>
    </row>
    <row r="1137">
      <c r="A1137" s="57"/>
      <c r="B1137" s="58"/>
      <c r="C1137" s="59"/>
      <c r="D1137" s="60"/>
      <c r="E1137" s="58"/>
    </row>
    <row r="1138">
      <c r="A1138" s="57"/>
      <c r="B1138" s="58"/>
      <c r="D1138" s="59"/>
      <c r="E1138" s="58"/>
    </row>
    <row r="1139">
      <c r="A1139" s="57"/>
      <c r="B1139" s="58"/>
      <c r="C1139" s="59"/>
      <c r="D1139" s="60"/>
      <c r="E1139" s="58"/>
    </row>
    <row r="1140">
      <c r="A1140" s="57"/>
      <c r="B1140" s="58"/>
      <c r="C1140" s="59"/>
      <c r="D1140" s="60"/>
      <c r="E1140" s="58"/>
    </row>
    <row r="1141">
      <c r="A1141" s="57"/>
      <c r="B1141" s="58"/>
      <c r="D1141" s="59"/>
      <c r="E1141" s="58"/>
    </row>
    <row r="1142">
      <c r="A1142" s="57"/>
      <c r="B1142" s="58"/>
      <c r="C1142" s="59"/>
      <c r="D1142" s="60"/>
      <c r="E1142" s="58"/>
    </row>
    <row r="1143">
      <c r="A1143" s="57"/>
      <c r="B1143" s="58"/>
      <c r="C1143" s="59"/>
      <c r="D1143" s="60"/>
      <c r="E1143" s="58"/>
    </row>
    <row r="1144">
      <c r="A1144" s="57"/>
      <c r="B1144" s="58"/>
      <c r="C1144" s="59"/>
      <c r="D1144" s="60"/>
      <c r="E1144" s="58"/>
    </row>
    <row r="1145">
      <c r="A1145" s="57"/>
      <c r="B1145" s="58"/>
      <c r="D1145" s="59"/>
      <c r="E1145" s="58"/>
    </row>
    <row r="1146">
      <c r="A1146" s="57"/>
      <c r="B1146" s="58"/>
      <c r="C1146" s="59"/>
      <c r="D1146" s="60"/>
      <c r="E1146" s="58"/>
    </row>
    <row r="1147">
      <c r="A1147" s="57"/>
      <c r="B1147" s="58"/>
      <c r="D1147" s="59"/>
      <c r="E1147" s="58"/>
    </row>
    <row r="1148">
      <c r="A1148" s="57"/>
      <c r="B1148" s="58"/>
      <c r="C1148" s="59"/>
      <c r="D1148" s="60"/>
      <c r="E1148" s="58"/>
    </row>
    <row r="1149">
      <c r="A1149" s="57"/>
      <c r="B1149" s="58"/>
      <c r="C1149" s="59"/>
      <c r="D1149" s="60"/>
      <c r="E1149" s="58"/>
    </row>
    <row r="1150">
      <c r="A1150" s="57"/>
      <c r="B1150" s="58"/>
      <c r="D1150" s="59"/>
      <c r="E1150" s="58"/>
    </row>
    <row r="1151">
      <c r="A1151" s="57"/>
      <c r="B1151" s="58"/>
      <c r="C1151" s="59"/>
      <c r="D1151" s="60"/>
      <c r="E1151" s="58"/>
    </row>
    <row r="1152">
      <c r="A1152" s="57"/>
      <c r="B1152" s="58"/>
      <c r="D1152" s="59"/>
      <c r="E1152" s="58"/>
    </row>
    <row r="1153">
      <c r="A1153" s="57"/>
      <c r="B1153" s="58"/>
      <c r="C1153" s="59"/>
      <c r="D1153" s="60"/>
      <c r="E1153" s="58"/>
    </row>
    <row r="1154">
      <c r="A1154" s="57"/>
      <c r="B1154" s="58"/>
      <c r="D1154" s="59"/>
      <c r="E1154" s="58"/>
    </row>
    <row r="1155">
      <c r="A1155" s="57"/>
      <c r="B1155" s="58"/>
      <c r="C1155" s="59"/>
      <c r="D1155" s="60"/>
      <c r="E1155" s="58"/>
    </row>
    <row r="1156">
      <c r="A1156" s="57"/>
      <c r="B1156" s="58"/>
      <c r="C1156" s="59"/>
      <c r="D1156" s="60"/>
      <c r="E1156" s="58"/>
    </row>
    <row r="1157">
      <c r="A1157" s="57"/>
      <c r="B1157" s="58"/>
      <c r="D1157" s="59"/>
      <c r="E1157" s="58"/>
    </row>
    <row r="1158">
      <c r="A1158" s="57"/>
      <c r="B1158" s="58"/>
      <c r="C1158" s="59"/>
      <c r="D1158" s="60"/>
      <c r="E1158" s="58"/>
    </row>
    <row r="1159">
      <c r="A1159" s="57"/>
      <c r="B1159" s="58"/>
      <c r="C1159" s="59"/>
      <c r="D1159" s="60"/>
      <c r="E1159" s="58"/>
    </row>
    <row r="1160">
      <c r="A1160" s="57"/>
      <c r="B1160" s="58"/>
      <c r="D1160" s="59"/>
      <c r="E1160" s="58"/>
    </row>
    <row r="1161">
      <c r="A1161" s="57"/>
      <c r="B1161" s="58"/>
      <c r="C1161" s="59"/>
      <c r="D1161" s="60"/>
      <c r="E1161" s="58"/>
    </row>
    <row r="1162">
      <c r="A1162" s="57"/>
      <c r="B1162" s="58"/>
      <c r="C1162" s="59"/>
      <c r="D1162" s="60"/>
      <c r="E1162" s="58"/>
    </row>
    <row r="1163">
      <c r="A1163" s="57"/>
      <c r="B1163" s="58"/>
      <c r="C1163" s="59"/>
      <c r="D1163" s="60"/>
      <c r="E1163" s="58"/>
    </row>
    <row r="1164">
      <c r="A1164" s="57"/>
      <c r="B1164" s="58"/>
      <c r="C1164" s="59"/>
      <c r="D1164" s="60"/>
      <c r="E1164" s="58"/>
    </row>
    <row r="1165">
      <c r="A1165" s="57"/>
      <c r="B1165" s="58"/>
      <c r="C1165" s="59"/>
      <c r="D1165" s="60"/>
      <c r="E1165" s="58"/>
    </row>
    <row r="1166">
      <c r="A1166" s="57"/>
      <c r="B1166" s="58"/>
      <c r="C1166" s="59"/>
      <c r="D1166" s="60"/>
      <c r="E1166" s="58"/>
    </row>
    <row r="1167">
      <c r="A1167" s="57"/>
      <c r="B1167" s="58"/>
      <c r="C1167" s="59"/>
      <c r="D1167" s="60"/>
      <c r="E1167" s="58"/>
    </row>
    <row r="1168">
      <c r="A1168" s="57"/>
      <c r="B1168" s="58"/>
      <c r="C1168" s="59"/>
      <c r="D1168" s="60"/>
      <c r="E1168" s="58"/>
    </row>
    <row r="1169">
      <c r="A1169" s="57"/>
      <c r="B1169" s="58"/>
      <c r="D1169" s="59"/>
      <c r="E1169" s="58"/>
    </row>
    <row r="1170">
      <c r="A1170" s="57"/>
      <c r="B1170" s="58"/>
      <c r="C1170" s="59"/>
      <c r="D1170" s="60"/>
      <c r="E1170" s="58"/>
    </row>
    <row r="1171">
      <c r="A1171" s="57"/>
      <c r="B1171" s="58"/>
      <c r="C1171" s="59"/>
      <c r="D1171" s="60"/>
      <c r="E1171" s="58"/>
    </row>
    <row r="1172">
      <c r="A1172" s="57"/>
      <c r="B1172" s="58"/>
      <c r="C1172" s="59"/>
      <c r="D1172" s="60"/>
      <c r="E1172" s="58"/>
    </row>
    <row r="1173">
      <c r="A1173" s="57"/>
      <c r="B1173" s="58"/>
      <c r="D1173" s="59"/>
      <c r="E1173" s="58"/>
    </row>
    <row r="1174">
      <c r="A1174" s="57"/>
      <c r="B1174" s="58"/>
      <c r="D1174" s="59"/>
      <c r="E1174" s="58"/>
    </row>
    <row r="1175">
      <c r="A1175" s="57"/>
      <c r="B1175" s="58"/>
      <c r="D1175" s="59"/>
      <c r="E1175" s="58"/>
    </row>
    <row r="1176">
      <c r="A1176" s="57"/>
      <c r="B1176" s="58"/>
      <c r="D1176" s="59"/>
      <c r="E1176" s="58"/>
    </row>
    <row r="1177">
      <c r="A1177" s="57"/>
      <c r="B1177" s="58"/>
      <c r="C1177" s="59"/>
      <c r="D1177" s="60"/>
      <c r="E1177" s="58"/>
    </row>
    <row r="1178">
      <c r="A1178" s="57"/>
      <c r="B1178" s="58"/>
      <c r="D1178" s="59"/>
      <c r="E1178" s="58"/>
    </row>
    <row r="1179">
      <c r="A1179" s="57"/>
      <c r="B1179" s="58"/>
      <c r="D1179" s="59"/>
      <c r="E1179" s="58"/>
    </row>
    <row r="1180">
      <c r="A1180" s="57"/>
      <c r="B1180" s="58"/>
      <c r="C1180" s="59"/>
      <c r="D1180" s="60"/>
      <c r="E1180" s="58"/>
    </row>
    <row r="1181">
      <c r="A1181" s="57"/>
      <c r="B1181" s="58"/>
      <c r="D1181" s="59"/>
      <c r="E1181" s="58"/>
    </row>
    <row r="1182">
      <c r="A1182" s="57"/>
      <c r="B1182" s="58"/>
      <c r="C1182" s="59"/>
      <c r="D1182" s="60"/>
      <c r="E1182" s="58"/>
    </row>
    <row r="1183">
      <c r="A1183" s="57"/>
      <c r="B1183" s="58"/>
      <c r="C1183" s="59"/>
      <c r="D1183" s="60"/>
      <c r="E1183" s="58"/>
    </row>
    <row r="1184">
      <c r="A1184" s="57"/>
      <c r="B1184" s="58"/>
      <c r="D1184" s="59"/>
      <c r="E1184" s="58"/>
    </row>
    <row r="1185">
      <c r="A1185" s="57"/>
      <c r="B1185" s="58"/>
      <c r="C1185" s="59"/>
      <c r="D1185" s="60"/>
      <c r="E1185" s="58"/>
    </row>
    <row r="1186">
      <c r="A1186" s="57"/>
      <c r="B1186" s="58"/>
      <c r="C1186" s="59"/>
      <c r="D1186" s="60"/>
      <c r="E1186" s="58"/>
    </row>
    <row r="1187">
      <c r="A1187" s="57"/>
      <c r="B1187" s="58"/>
      <c r="D1187" s="59"/>
      <c r="E1187" s="58"/>
    </row>
    <row r="1188">
      <c r="A1188" s="57"/>
      <c r="B1188" s="58"/>
      <c r="D1188" s="59"/>
      <c r="E1188" s="58"/>
    </row>
    <row r="1189">
      <c r="A1189" s="57"/>
      <c r="B1189" s="58"/>
      <c r="C1189" s="59"/>
      <c r="D1189" s="60"/>
      <c r="E1189" s="58"/>
    </row>
    <row r="1190">
      <c r="A1190" s="57"/>
      <c r="B1190" s="58"/>
      <c r="C1190" s="59"/>
      <c r="D1190" s="60"/>
      <c r="E1190" s="58"/>
    </row>
    <row r="1191">
      <c r="A1191" s="57"/>
      <c r="B1191" s="58"/>
      <c r="C1191" s="59"/>
      <c r="D1191" s="60"/>
      <c r="E1191" s="58"/>
    </row>
    <row r="1192">
      <c r="A1192" s="57"/>
      <c r="B1192" s="58"/>
      <c r="D1192" s="59"/>
      <c r="E1192" s="58"/>
    </row>
    <row r="1193">
      <c r="A1193" s="57"/>
      <c r="B1193" s="58"/>
      <c r="C1193" s="59"/>
      <c r="D1193" s="60"/>
      <c r="E1193" s="58"/>
    </row>
    <row r="1194">
      <c r="A1194" s="57"/>
      <c r="B1194" s="58"/>
      <c r="C1194" s="59"/>
      <c r="D1194" s="60"/>
      <c r="E1194" s="58"/>
    </row>
    <row r="1195">
      <c r="A1195" s="57"/>
      <c r="B1195" s="58"/>
      <c r="C1195" s="59"/>
      <c r="D1195" s="60"/>
      <c r="E1195" s="58"/>
    </row>
    <row r="1196">
      <c r="A1196" s="57"/>
      <c r="B1196" s="58"/>
      <c r="D1196" s="59"/>
      <c r="E1196" s="58"/>
    </row>
    <row r="1197">
      <c r="A1197" s="57"/>
      <c r="B1197" s="58"/>
      <c r="D1197" s="59"/>
      <c r="E1197" s="58"/>
    </row>
    <row r="1198">
      <c r="A1198" s="57"/>
      <c r="B1198" s="58"/>
      <c r="C1198" s="59"/>
      <c r="D1198" s="60"/>
      <c r="E1198" s="58"/>
    </row>
    <row r="1199">
      <c r="A1199" s="57"/>
      <c r="B1199" s="58"/>
      <c r="C1199" s="59"/>
      <c r="D1199" s="60"/>
      <c r="E1199" s="58"/>
    </row>
    <row r="1200">
      <c r="A1200" s="57"/>
      <c r="B1200" s="58"/>
      <c r="C1200" s="59"/>
      <c r="D1200" s="60"/>
      <c r="E1200" s="58"/>
    </row>
    <row r="1201">
      <c r="A1201" s="57"/>
      <c r="B1201" s="58"/>
      <c r="D1201" s="59"/>
      <c r="E1201" s="58"/>
    </row>
    <row r="1202">
      <c r="A1202" s="57"/>
      <c r="B1202" s="58"/>
      <c r="D1202" s="59"/>
      <c r="E1202" s="58"/>
    </row>
    <row r="1203">
      <c r="A1203" s="57"/>
      <c r="B1203" s="58"/>
      <c r="C1203" s="59"/>
      <c r="D1203" s="60"/>
      <c r="E1203" s="58"/>
    </row>
    <row r="1204">
      <c r="A1204" s="57"/>
      <c r="B1204" s="58"/>
      <c r="C1204" s="59"/>
      <c r="D1204" s="60"/>
      <c r="E1204" s="58"/>
    </row>
    <row r="1205">
      <c r="A1205" s="57"/>
      <c r="B1205" s="58"/>
      <c r="D1205" s="59"/>
      <c r="E1205" s="58"/>
    </row>
    <row r="1206">
      <c r="A1206" s="57"/>
      <c r="B1206" s="58"/>
      <c r="D1206" s="59"/>
      <c r="E1206" s="58"/>
    </row>
    <row r="1207">
      <c r="A1207" s="57"/>
      <c r="B1207" s="58"/>
      <c r="D1207" s="59"/>
      <c r="E1207" s="58"/>
    </row>
    <row r="1208">
      <c r="A1208" s="57"/>
      <c r="B1208" s="58"/>
      <c r="D1208" s="59"/>
      <c r="E1208" s="58"/>
    </row>
    <row r="1209">
      <c r="A1209" s="57"/>
      <c r="B1209" s="58"/>
      <c r="C1209" s="59"/>
      <c r="D1209" s="60"/>
      <c r="E1209" s="58"/>
    </row>
    <row r="1210">
      <c r="A1210" s="57"/>
      <c r="B1210" s="58"/>
      <c r="C1210" s="59"/>
      <c r="D1210" s="60"/>
      <c r="E1210" s="58"/>
    </row>
    <row r="1211">
      <c r="A1211" s="57"/>
      <c r="B1211" s="58"/>
      <c r="C1211" s="59"/>
      <c r="D1211" s="60"/>
      <c r="E1211" s="58"/>
    </row>
    <row r="1212">
      <c r="A1212" s="57"/>
      <c r="B1212" s="58"/>
      <c r="C1212" s="59"/>
      <c r="D1212" s="60"/>
      <c r="E1212" s="58"/>
    </row>
    <row r="1213">
      <c r="A1213" s="57"/>
      <c r="B1213" s="58"/>
      <c r="D1213" s="59"/>
      <c r="E1213" s="58"/>
    </row>
    <row r="1214">
      <c r="A1214" s="57"/>
      <c r="B1214" s="58"/>
      <c r="C1214" s="59"/>
      <c r="D1214" s="60"/>
      <c r="E1214" s="58"/>
    </row>
    <row r="1215">
      <c r="A1215" s="57"/>
      <c r="B1215" s="58"/>
      <c r="D1215" s="59"/>
      <c r="E1215" s="58"/>
    </row>
    <row r="1216">
      <c r="A1216" s="57"/>
      <c r="B1216" s="58"/>
      <c r="C1216" s="59"/>
      <c r="D1216" s="60"/>
      <c r="E1216" s="58"/>
    </row>
    <row r="1217">
      <c r="A1217" s="57"/>
      <c r="B1217" s="58"/>
      <c r="D1217" s="59"/>
      <c r="E1217" s="58"/>
    </row>
    <row r="1218">
      <c r="A1218" s="57"/>
      <c r="B1218" s="58"/>
      <c r="D1218" s="59"/>
      <c r="E1218" s="58"/>
    </row>
    <row r="1219">
      <c r="A1219" s="57"/>
      <c r="B1219" s="58"/>
      <c r="C1219" s="59"/>
      <c r="D1219" s="60"/>
      <c r="E1219" s="58"/>
    </row>
    <row r="1220">
      <c r="A1220" s="57"/>
      <c r="B1220" s="58"/>
      <c r="C1220" s="59"/>
      <c r="D1220" s="60"/>
      <c r="E1220" s="58"/>
    </row>
    <row r="1221">
      <c r="A1221" s="57"/>
      <c r="B1221" s="58"/>
      <c r="D1221" s="59"/>
      <c r="E1221" s="58"/>
    </row>
    <row r="1222">
      <c r="A1222" s="57"/>
      <c r="B1222" s="58"/>
      <c r="D1222" s="59"/>
      <c r="E1222" s="58"/>
    </row>
    <row r="1223">
      <c r="A1223" s="57"/>
      <c r="B1223" s="58"/>
      <c r="C1223" s="59"/>
      <c r="D1223" s="60"/>
      <c r="E1223" s="58"/>
    </row>
    <row r="1224">
      <c r="A1224" s="57"/>
      <c r="B1224" s="58"/>
      <c r="D1224" s="59"/>
      <c r="E1224" s="58"/>
    </row>
    <row r="1225">
      <c r="A1225" s="57"/>
      <c r="B1225" s="58"/>
      <c r="C1225" s="59"/>
      <c r="D1225" s="60"/>
      <c r="E1225" s="58"/>
    </row>
    <row r="1226">
      <c r="A1226" s="57"/>
      <c r="B1226" s="58"/>
      <c r="D1226" s="59"/>
      <c r="E1226" s="58"/>
    </row>
    <row r="1227">
      <c r="A1227" s="57"/>
      <c r="B1227" s="58"/>
      <c r="C1227" s="59"/>
      <c r="D1227" s="60"/>
      <c r="E1227" s="58"/>
    </row>
    <row r="1228">
      <c r="A1228" s="57"/>
      <c r="B1228" s="58"/>
      <c r="C1228" s="59"/>
      <c r="D1228" s="60"/>
      <c r="E1228" s="58"/>
    </row>
    <row r="1229">
      <c r="A1229" s="57"/>
      <c r="B1229" s="58"/>
      <c r="C1229" s="59"/>
      <c r="D1229" s="60"/>
      <c r="E1229" s="58"/>
    </row>
    <row r="1230">
      <c r="A1230" s="57"/>
      <c r="B1230" s="58"/>
      <c r="D1230" s="59"/>
      <c r="E1230" s="58"/>
    </row>
    <row r="1231">
      <c r="A1231" s="57"/>
      <c r="B1231" s="58"/>
      <c r="C1231" s="59"/>
      <c r="D1231" s="60"/>
      <c r="E1231" s="58"/>
    </row>
    <row r="1232">
      <c r="A1232" s="57"/>
      <c r="B1232" s="58"/>
      <c r="C1232" s="59"/>
      <c r="D1232" s="60"/>
      <c r="E1232" s="58"/>
    </row>
    <row r="1233">
      <c r="A1233" s="57"/>
      <c r="B1233" s="58"/>
      <c r="C1233" s="59"/>
      <c r="D1233" s="60"/>
      <c r="E1233" s="58"/>
    </row>
    <row r="1234">
      <c r="A1234" s="57"/>
      <c r="B1234" s="58"/>
      <c r="D1234" s="59"/>
      <c r="E1234" s="58"/>
    </row>
    <row r="1235">
      <c r="A1235" s="57"/>
      <c r="B1235" s="58"/>
      <c r="C1235" s="59"/>
      <c r="D1235" s="60"/>
      <c r="E1235" s="58"/>
    </row>
    <row r="1236">
      <c r="A1236" s="57"/>
      <c r="B1236" s="58"/>
      <c r="C1236" s="59"/>
      <c r="D1236" s="60"/>
      <c r="E1236" s="58"/>
    </row>
    <row r="1237">
      <c r="A1237" s="57"/>
      <c r="B1237" s="58"/>
      <c r="C1237" s="59"/>
      <c r="D1237" s="60"/>
      <c r="E1237" s="58"/>
    </row>
    <row r="1238">
      <c r="A1238" s="57"/>
      <c r="B1238" s="58"/>
      <c r="D1238" s="59"/>
      <c r="E1238" s="58"/>
    </row>
    <row r="1239">
      <c r="A1239" s="57"/>
      <c r="B1239" s="58"/>
      <c r="D1239" s="59"/>
      <c r="E1239" s="58"/>
    </row>
    <row r="1240">
      <c r="A1240" s="57"/>
      <c r="B1240" s="58"/>
      <c r="D1240" s="59"/>
      <c r="E1240" s="58"/>
    </row>
    <row r="1241">
      <c r="A1241" s="57"/>
      <c r="B1241" s="58"/>
      <c r="C1241" s="59"/>
      <c r="D1241" s="60"/>
      <c r="E1241" s="58"/>
    </row>
    <row r="1242">
      <c r="A1242" s="57"/>
      <c r="B1242" s="58"/>
      <c r="D1242" s="59"/>
      <c r="E1242" s="58"/>
    </row>
    <row r="1243">
      <c r="A1243" s="57"/>
      <c r="B1243" s="58"/>
      <c r="C1243" s="59"/>
      <c r="D1243" s="60"/>
      <c r="E1243" s="58"/>
    </row>
    <row r="1244">
      <c r="A1244" s="57"/>
      <c r="B1244" s="58"/>
      <c r="C1244" s="59"/>
      <c r="D1244" s="60"/>
      <c r="E1244" s="58"/>
    </row>
    <row r="1245">
      <c r="A1245" s="57"/>
      <c r="B1245" s="58"/>
      <c r="C1245" s="59"/>
      <c r="D1245" s="60"/>
      <c r="E1245" s="58"/>
    </row>
    <row r="1246">
      <c r="A1246" s="57"/>
      <c r="B1246" s="58"/>
      <c r="D1246" s="59"/>
      <c r="E1246" s="58"/>
    </row>
    <row r="1247">
      <c r="A1247" s="57"/>
      <c r="B1247" s="58"/>
      <c r="D1247" s="59"/>
      <c r="E1247" s="58"/>
    </row>
    <row r="1248">
      <c r="A1248" s="57"/>
      <c r="B1248" s="58"/>
      <c r="D1248" s="59"/>
      <c r="E1248" s="58"/>
    </row>
    <row r="1249">
      <c r="A1249" s="57"/>
      <c r="B1249" s="58"/>
      <c r="C1249" s="59"/>
      <c r="D1249" s="60"/>
      <c r="E1249" s="58"/>
    </row>
    <row r="1250">
      <c r="A1250" s="57"/>
      <c r="B1250" s="58"/>
      <c r="D1250" s="59"/>
      <c r="E1250" s="58"/>
    </row>
    <row r="1251">
      <c r="A1251" s="57"/>
      <c r="B1251" s="58"/>
      <c r="D1251" s="59"/>
      <c r="E1251" s="58"/>
    </row>
    <row r="1252">
      <c r="A1252" s="57"/>
      <c r="B1252" s="58"/>
      <c r="C1252" s="59"/>
      <c r="D1252" s="60"/>
      <c r="E1252" s="58"/>
    </row>
    <row r="1253">
      <c r="A1253" s="57"/>
      <c r="B1253" s="58"/>
      <c r="C1253" s="59"/>
      <c r="D1253" s="60"/>
      <c r="E1253" s="58"/>
    </row>
    <row r="1254">
      <c r="A1254" s="57"/>
      <c r="B1254" s="58"/>
      <c r="C1254" s="59"/>
      <c r="D1254" s="60"/>
      <c r="E1254" s="58"/>
    </row>
    <row r="1255">
      <c r="A1255" s="57"/>
      <c r="B1255" s="58"/>
      <c r="C1255" s="59"/>
      <c r="D1255" s="60"/>
      <c r="E1255" s="58"/>
    </row>
    <row r="1256">
      <c r="A1256" s="57"/>
      <c r="B1256" s="58"/>
      <c r="C1256" s="59"/>
      <c r="D1256" s="60"/>
      <c r="E1256" s="58"/>
    </row>
    <row r="1257">
      <c r="A1257" s="57"/>
      <c r="B1257" s="58"/>
      <c r="D1257" s="59"/>
      <c r="E1257" s="58"/>
    </row>
    <row r="1258">
      <c r="A1258" s="57"/>
      <c r="B1258" s="58"/>
      <c r="D1258" s="59"/>
      <c r="E1258" s="58"/>
    </row>
    <row r="1259">
      <c r="A1259" s="57"/>
      <c r="B1259" s="58"/>
      <c r="C1259" s="59"/>
      <c r="D1259" s="60"/>
      <c r="E1259" s="58"/>
    </row>
    <row r="1260">
      <c r="A1260" s="57"/>
      <c r="B1260" s="58"/>
      <c r="D1260" s="59"/>
      <c r="E1260" s="58"/>
    </row>
    <row r="1261">
      <c r="A1261" s="57"/>
      <c r="B1261" s="58"/>
      <c r="C1261" s="59"/>
      <c r="D1261" s="60"/>
      <c r="E1261" s="58"/>
    </row>
    <row r="1262">
      <c r="A1262" s="57"/>
      <c r="B1262" s="58"/>
      <c r="D1262" s="59"/>
      <c r="E1262" s="58"/>
    </row>
    <row r="1263">
      <c r="A1263" s="57"/>
      <c r="B1263" s="58"/>
      <c r="D1263" s="59"/>
      <c r="E1263" s="58"/>
    </row>
    <row r="1264">
      <c r="A1264" s="57"/>
      <c r="B1264" s="58"/>
      <c r="C1264" s="59"/>
      <c r="D1264" s="60"/>
      <c r="E1264" s="58"/>
    </row>
    <row r="1265">
      <c r="A1265" s="57"/>
      <c r="B1265" s="58"/>
      <c r="C1265" s="59"/>
      <c r="D1265" s="60"/>
      <c r="E1265" s="58"/>
    </row>
    <row r="1266">
      <c r="A1266" s="57"/>
      <c r="B1266" s="58"/>
      <c r="D1266" s="59"/>
      <c r="E1266" s="58"/>
    </row>
    <row r="1267">
      <c r="A1267" s="57"/>
      <c r="B1267" s="58"/>
      <c r="D1267" s="59"/>
      <c r="E1267" s="58"/>
    </row>
    <row r="1268">
      <c r="A1268" s="57"/>
      <c r="B1268" s="58"/>
      <c r="C1268" s="59"/>
      <c r="D1268" s="60"/>
      <c r="E1268" s="58"/>
    </row>
    <row r="1269">
      <c r="A1269" s="57"/>
      <c r="B1269" s="58"/>
      <c r="C1269" s="59"/>
      <c r="D1269" s="60"/>
      <c r="E1269" s="58"/>
    </row>
    <row r="1270">
      <c r="A1270" s="57"/>
      <c r="B1270" s="58"/>
      <c r="D1270" s="59"/>
      <c r="E1270" s="58"/>
    </row>
    <row r="1271">
      <c r="A1271" s="57"/>
      <c r="B1271" s="58"/>
      <c r="C1271" s="59"/>
      <c r="D1271" s="60"/>
      <c r="E1271" s="58"/>
    </row>
    <row r="1272">
      <c r="A1272" s="57"/>
      <c r="B1272" s="58"/>
      <c r="D1272" s="59"/>
      <c r="E1272" s="58"/>
    </row>
    <row r="1273">
      <c r="A1273" s="57"/>
      <c r="B1273" s="58"/>
      <c r="D1273" s="59"/>
      <c r="E1273" s="58"/>
    </row>
    <row r="1274">
      <c r="A1274" s="57"/>
      <c r="B1274" s="58"/>
      <c r="C1274" s="59"/>
      <c r="D1274" s="60"/>
      <c r="E1274" s="58"/>
    </row>
    <row r="1275">
      <c r="A1275" s="57"/>
      <c r="B1275" s="58"/>
      <c r="C1275" s="59"/>
      <c r="D1275" s="60"/>
      <c r="E1275" s="58"/>
    </row>
    <row r="1276">
      <c r="A1276" s="57"/>
      <c r="B1276" s="58"/>
      <c r="C1276" s="59"/>
      <c r="D1276" s="60"/>
      <c r="E1276" s="58"/>
    </row>
    <row r="1277">
      <c r="A1277" s="57"/>
      <c r="B1277" s="58"/>
      <c r="C1277" s="59"/>
      <c r="D1277" s="60"/>
      <c r="E1277" s="58"/>
    </row>
    <row r="1278">
      <c r="A1278" s="57"/>
      <c r="B1278" s="58"/>
      <c r="C1278" s="59"/>
      <c r="D1278" s="60"/>
      <c r="E1278" s="58"/>
    </row>
    <row r="1279">
      <c r="A1279" s="57"/>
      <c r="B1279" s="58"/>
      <c r="C1279" s="59"/>
      <c r="D1279" s="60"/>
      <c r="E1279" s="58"/>
    </row>
    <row r="1280">
      <c r="A1280" s="57"/>
      <c r="B1280" s="58"/>
      <c r="D1280" s="59"/>
      <c r="E1280" s="58"/>
    </row>
    <row r="1281">
      <c r="A1281" s="57"/>
      <c r="B1281" s="58"/>
      <c r="D1281" s="59"/>
      <c r="E1281" s="58"/>
    </row>
    <row r="1282">
      <c r="A1282" s="57"/>
      <c r="B1282" s="58"/>
      <c r="C1282" s="59"/>
      <c r="D1282" s="60"/>
      <c r="E1282" s="58"/>
    </row>
    <row r="1283">
      <c r="A1283" s="57"/>
      <c r="B1283" s="58"/>
      <c r="D1283" s="59"/>
      <c r="E1283" s="58"/>
    </row>
    <row r="1284">
      <c r="A1284" s="57"/>
      <c r="B1284" s="58"/>
      <c r="D1284" s="59"/>
      <c r="E1284" s="58"/>
    </row>
    <row r="1285">
      <c r="A1285" s="57"/>
      <c r="B1285" s="58"/>
      <c r="C1285" s="59"/>
      <c r="D1285" s="60"/>
      <c r="E1285" s="58"/>
    </row>
    <row r="1286">
      <c r="A1286" s="57"/>
      <c r="B1286" s="58"/>
      <c r="C1286" s="59"/>
      <c r="D1286" s="60"/>
      <c r="E1286" s="58"/>
    </row>
    <row r="1287">
      <c r="A1287" s="57"/>
      <c r="B1287" s="58"/>
      <c r="D1287" s="59"/>
      <c r="E1287" s="58"/>
    </row>
    <row r="1288">
      <c r="A1288" s="57"/>
      <c r="B1288" s="58"/>
      <c r="C1288" s="59"/>
      <c r="D1288" s="60"/>
      <c r="E1288" s="58"/>
    </row>
    <row r="1289">
      <c r="A1289" s="57"/>
      <c r="B1289" s="58"/>
      <c r="C1289" s="59"/>
      <c r="D1289" s="60"/>
      <c r="E1289" s="58"/>
    </row>
    <row r="1290">
      <c r="A1290" s="57"/>
      <c r="B1290" s="58"/>
      <c r="D1290" s="59"/>
      <c r="E1290" s="58"/>
    </row>
    <row r="1291">
      <c r="A1291" s="57"/>
      <c r="B1291" s="58"/>
      <c r="C1291" s="59"/>
      <c r="D1291" s="60"/>
      <c r="E1291" s="58"/>
    </row>
    <row r="1292">
      <c r="A1292" s="57"/>
      <c r="B1292" s="58"/>
      <c r="D1292" s="59"/>
      <c r="E1292" s="58"/>
    </row>
    <row r="1293">
      <c r="A1293" s="57"/>
      <c r="B1293" s="58"/>
      <c r="D1293" s="59"/>
      <c r="E1293" s="58"/>
    </row>
    <row r="1294">
      <c r="A1294" s="57"/>
      <c r="B1294" s="58"/>
      <c r="D1294" s="59"/>
      <c r="E1294" s="58"/>
    </row>
    <row r="1295">
      <c r="A1295" s="57"/>
      <c r="B1295" s="58"/>
      <c r="C1295" s="59"/>
      <c r="D1295" s="60"/>
      <c r="E1295" s="58"/>
    </row>
    <row r="1296">
      <c r="A1296" s="57"/>
      <c r="B1296" s="58"/>
      <c r="C1296" s="59"/>
      <c r="D1296" s="60"/>
      <c r="E1296" s="58"/>
    </row>
    <row r="1297">
      <c r="A1297" s="57"/>
      <c r="B1297" s="58"/>
      <c r="C1297" s="59"/>
      <c r="D1297" s="60"/>
      <c r="E1297" s="58"/>
    </row>
    <row r="1298">
      <c r="A1298" s="57"/>
      <c r="B1298" s="58"/>
      <c r="D1298" s="59"/>
      <c r="E1298" s="58"/>
    </row>
    <row r="1299">
      <c r="A1299" s="57"/>
      <c r="B1299" s="58"/>
      <c r="D1299" s="59"/>
      <c r="E1299" s="58"/>
    </row>
    <row r="1300">
      <c r="A1300" s="57"/>
      <c r="B1300" s="58"/>
      <c r="C1300" s="59"/>
      <c r="D1300" s="60"/>
      <c r="E1300" s="58"/>
    </row>
    <row r="1301">
      <c r="A1301" s="57"/>
      <c r="B1301" s="58"/>
      <c r="D1301" s="59"/>
      <c r="E1301" s="58"/>
    </row>
    <row r="1302">
      <c r="A1302" s="57"/>
      <c r="B1302" s="58"/>
      <c r="C1302" s="59"/>
      <c r="D1302" s="60"/>
      <c r="E1302" s="58"/>
    </row>
    <row r="1303">
      <c r="A1303" s="57"/>
      <c r="B1303" s="58"/>
      <c r="C1303" s="59"/>
      <c r="D1303" s="60"/>
      <c r="E1303" s="58"/>
    </row>
    <row r="1304">
      <c r="A1304" s="57"/>
      <c r="B1304" s="58"/>
      <c r="D1304" s="59"/>
      <c r="E1304" s="58"/>
    </row>
    <row r="1305">
      <c r="A1305" s="57"/>
      <c r="B1305" s="58"/>
      <c r="D1305" s="59"/>
      <c r="E1305" s="58"/>
    </row>
    <row r="1306">
      <c r="A1306" s="57"/>
      <c r="B1306" s="58"/>
      <c r="C1306" s="59"/>
      <c r="D1306" s="60"/>
      <c r="E1306" s="58"/>
    </row>
    <row r="1307">
      <c r="A1307" s="57"/>
      <c r="B1307" s="58"/>
      <c r="D1307" s="59"/>
      <c r="E1307" s="58"/>
    </row>
    <row r="1308">
      <c r="A1308" s="57"/>
      <c r="B1308" s="58"/>
      <c r="C1308" s="59"/>
      <c r="D1308" s="60"/>
      <c r="E1308" s="58"/>
    </row>
    <row r="1309">
      <c r="A1309" s="57"/>
      <c r="B1309" s="58"/>
      <c r="D1309" s="59"/>
      <c r="E1309" s="58"/>
    </row>
    <row r="1310">
      <c r="A1310" s="57"/>
      <c r="B1310" s="58"/>
      <c r="C1310" s="59"/>
      <c r="D1310" s="60"/>
      <c r="E1310" s="58"/>
    </row>
    <row r="1311">
      <c r="A1311" s="57"/>
      <c r="B1311" s="58"/>
      <c r="C1311" s="59"/>
      <c r="D1311" s="60"/>
      <c r="E1311" s="58"/>
    </row>
    <row r="1312">
      <c r="A1312" s="57"/>
      <c r="B1312" s="58"/>
      <c r="D1312" s="59"/>
      <c r="E1312" s="58"/>
    </row>
    <row r="1313">
      <c r="A1313" s="57"/>
      <c r="B1313" s="58"/>
      <c r="D1313" s="59"/>
      <c r="E1313" s="58"/>
    </row>
    <row r="1314">
      <c r="A1314" s="57"/>
      <c r="B1314" s="58"/>
      <c r="D1314" s="59"/>
      <c r="E1314" s="58"/>
    </row>
    <row r="1315">
      <c r="A1315" s="57"/>
      <c r="B1315" s="58"/>
      <c r="C1315" s="59"/>
      <c r="D1315" s="60"/>
      <c r="E1315" s="58"/>
    </row>
    <row r="1316">
      <c r="A1316" s="57"/>
      <c r="B1316" s="58"/>
      <c r="D1316" s="59"/>
      <c r="E1316" s="58"/>
    </row>
    <row r="1317">
      <c r="A1317" s="57"/>
      <c r="B1317" s="58"/>
      <c r="C1317" s="59"/>
      <c r="D1317" s="60"/>
      <c r="E1317" s="58"/>
    </row>
    <row r="1318">
      <c r="A1318" s="57"/>
      <c r="B1318" s="58"/>
      <c r="C1318" s="59"/>
      <c r="D1318" s="60"/>
      <c r="E1318" s="58"/>
    </row>
    <row r="1319">
      <c r="A1319" s="57"/>
      <c r="B1319" s="58"/>
      <c r="D1319" s="59"/>
      <c r="E1319" s="58"/>
    </row>
    <row r="1320">
      <c r="A1320" s="57"/>
      <c r="B1320" s="58"/>
      <c r="C1320" s="59"/>
      <c r="D1320" s="60"/>
      <c r="E1320" s="58"/>
    </row>
    <row r="1321">
      <c r="A1321" s="57"/>
      <c r="B1321" s="58"/>
      <c r="C1321" s="59"/>
      <c r="D1321" s="60"/>
      <c r="E1321" s="58"/>
    </row>
    <row r="1322">
      <c r="A1322" s="57"/>
      <c r="B1322" s="58"/>
      <c r="D1322" s="59"/>
      <c r="E1322" s="58"/>
    </row>
    <row r="1323">
      <c r="A1323" s="57"/>
      <c r="B1323" s="58"/>
      <c r="D1323" s="59"/>
      <c r="E1323" s="58"/>
    </row>
    <row r="1324">
      <c r="A1324" s="57"/>
      <c r="B1324" s="58"/>
      <c r="C1324" s="59"/>
      <c r="D1324" s="60"/>
      <c r="E1324" s="58"/>
    </row>
    <row r="1325">
      <c r="A1325" s="57"/>
      <c r="B1325" s="58"/>
      <c r="D1325" s="59"/>
      <c r="E1325" s="58"/>
    </row>
    <row r="1326">
      <c r="A1326" s="57"/>
      <c r="B1326" s="58"/>
      <c r="C1326" s="59"/>
      <c r="D1326" s="60"/>
      <c r="E1326" s="58"/>
    </row>
    <row r="1327">
      <c r="A1327" s="57"/>
      <c r="B1327" s="58"/>
      <c r="D1327" s="59"/>
      <c r="E1327" s="58"/>
    </row>
    <row r="1328">
      <c r="A1328" s="57"/>
      <c r="B1328" s="58"/>
      <c r="D1328" s="59"/>
      <c r="E1328" s="58"/>
    </row>
    <row r="1329">
      <c r="A1329" s="57"/>
      <c r="B1329" s="58"/>
      <c r="C1329" s="59"/>
      <c r="D1329" s="60"/>
      <c r="E1329" s="58"/>
    </row>
    <row r="1330">
      <c r="A1330" s="57"/>
      <c r="B1330" s="58"/>
      <c r="D1330" s="59"/>
      <c r="E1330" s="58"/>
    </row>
    <row r="1331">
      <c r="A1331" s="57"/>
      <c r="B1331" s="58"/>
      <c r="C1331" s="59"/>
      <c r="D1331" s="60"/>
      <c r="E1331" s="58"/>
    </row>
    <row r="1332">
      <c r="A1332" s="57"/>
      <c r="B1332" s="58"/>
      <c r="C1332" s="59"/>
      <c r="D1332" s="60"/>
      <c r="E1332" s="58"/>
    </row>
    <row r="1333">
      <c r="A1333" s="57"/>
      <c r="B1333" s="58"/>
      <c r="C1333" s="59"/>
      <c r="D1333" s="60"/>
      <c r="E1333" s="58"/>
    </row>
    <row r="1334">
      <c r="A1334" s="57"/>
      <c r="B1334" s="58"/>
      <c r="C1334" s="59"/>
      <c r="D1334" s="60"/>
      <c r="E1334" s="58"/>
    </row>
    <row r="1335">
      <c r="A1335" s="57"/>
      <c r="B1335" s="58"/>
      <c r="D1335" s="59"/>
      <c r="E1335" s="58"/>
    </row>
    <row r="1336">
      <c r="A1336" s="57"/>
      <c r="B1336" s="58"/>
      <c r="D1336" s="59"/>
      <c r="E1336" s="58"/>
    </row>
    <row r="1337">
      <c r="A1337" s="57"/>
      <c r="B1337" s="58"/>
      <c r="D1337" s="59"/>
      <c r="E1337" s="58"/>
    </row>
    <row r="1338">
      <c r="A1338" s="57"/>
      <c r="B1338" s="58"/>
      <c r="C1338" s="59"/>
      <c r="D1338" s="60"/>
      <c r="E1338" s="58"/>
    </row>
    <row r="1339">
      <c r="A1339" s="57"/>
      <c r="B1339" s="58"/>
      <c r="C1339" s="59"/>
      <c r="D1339" s="60"/>
      <c r="E1339" s="58"/>
    </row>
    <row r="1340">
      <c r="A1340" s="57"/>
      <c r="B1340" s="58"/>
      <c r="C1340" s="59"/>
      <c r="D1340" s="60"/>
      <c r="E1340" s="58"/>
    </row>
    <row r="1341">
      <c r="A1341" s="57"/>
      <c r="B1341" s="58"/>
      <c r="D1341" s="59"/>
      <c r="E1341" s="58"/>
    </row>
    <row r="1342">
      <c r="A1342" s="57"/>
      <c r="B1342" s="58"/>
      <c r="D1342" s="59"/>
      <c r="E1342" s="58"/>
    </row>
    <row r="1343">
      <c r="A1343" s="57"/>
      <c r="B1343" s="58"/>
      <c r="C1343" s="59"/>
      <c r="D1343" s="60"/>
      <c r="E1343" s="58"/>
    </row>
    <row r="1344">
      <c r="A1344" s="57"/>
      <c r="B1344" s="58"/>
      <c r="D1344" s="59"/>
      <c r="E1344" s="58"/>
    </row>
    <row r="1345">
      <c r="A1345" s="57"/>
      <c r="B1345" s="58"/>
      <c r="C1345" s="59"/>
      <c r="D1345" s="60"/>
      <c r="E1345" s="58"/>
    </row>
    <row r="1346">
      <c r="A1346" s="57"/>
      <c r="B1346" s="58"/>
      <c r="C1346" s="59"/>
      <c r="D1346" s="60"/>
      <c r="E1346" s="58"/>
    </row>
    <row r="1347">
      <c r="A1347" s="57"/>
      <c r="B1347" s="58"/>
      <c r="D1347" s="59"/>
      <c r="E1347" s="58"/>
    </row>
    <row r="1348">
      <c r="A1348" s="57"/>
      <c r="B1348" s="58"/>
      <c r="C1348" s="59"/>
      <c r="D1348" s="60"/>
      <c r="E1348" s="58"/>
    </row>
    <row r="1349">
      <c r="A1349" s="57"/>
      <c r="B1349" s="58"/>
      <c r="C1349" s="59"/>
      <c r="D1349" s="60"/>
      <c r="E1349" s="58"/>
    </row>
    <row r="1350">
      <c r="A1350" s="57"/>
      <c r="B1350" s="58"/>
      <c r="C1350" s="59"/>
      <c r="D1350" s="60"/>
      <c r="E1350" s="58"/>
    </row>
    <row r="1351">
      <c r="A1351" s="57"/>
      <c r="B1351" s="58"/>
      <c r="C1351" s="59"/>
      <c r="D1351" s="60"/>
      <c r="E1351" s="58"/>
    </row>
    <row r="1352">
      <c r="A1352" s="57"/>
      <c r="B1352" s="58"/>
      <c r="C1352" s="59"/>
      <c r="D1352" s="60"/>
      <c r="E1352" s="58"/>
    </row>
    <row r="1353">
      <c r="A1353" s="57"/>
      <c r="B1353" s="58"/>
      <c r="D1353" s="59"/>
      <c r="E1353" s="58"/>
    </row>
    <row r="1354">
      <c r="A1354" s="57"/>
      <c r="B1354" s="58"/>
      <c r="D1354" s="59"/>
      <c r="E1354" s="58"/>
    </row>
    <row r="1355">
      <c r="A1355" s="57"/>
      <c r="B1355" s="58"/>
      <c r="C1355" s="59"/>
      <c r="D1355" s="60"/>
      <c r="E1355" s="58"/>
    </row>
    <row r="1356">
      <c r="A1356" s="57"/>
      <c r="B1356" s="58"/>
      <c r="C1356" s="59"/>
      <c r="D1356" s="60"/>
      <c r="E1356" s="58"/>
    </row>
    <row r="1357">
      <c r="A1357" s="57"/>
      <c r="B1357" s="58"/>
      <c r="C1357" s="59"/>
      <c r="D1357" s="60"/>
      <c r="E1357" s="58"/>
    </row>
    <row r="1358">
      <c r="A1358" s="57"/>
      <c r="B1358" s="58"/>
      <c r="C1358" s="59"/>
      <c r="D1358" s="60"/>
      <c r="E1358" s="58"/>
    </row>
    <row r="1359">
      <c r="A1359" s="57"/>
      <c r="B1359" s="58"/>
      <c r="C1359" s="59"/>
      <c r="D1359" s="60"/>
      <c r="E1359" s="58"/>
    </row>
    <row r="1360">
      <c r="A1360" s="57"/>
      <c r="B1360" s="58"/>
      <c r="C1360" s="59"/>
      <c r="D1360" s="60"/>
      <c r="E1360" s="58"/>
    </row>
    <row r="1361">
      <c r="A1361" s="57"/>
      <c r="B1361" s="58"/>
      <c r="C1361" s="59"/>
      <c r="D1361" s="60"/>
      <c r="E1361" s="58"/>
    </row>
    <row r="1362">
      <c r="A1362" s="57"/>
      <c r="B1362" s="58"/>
      <c r="C1362" s="59"/>
      <c r="D1362" s="60"/>
      <c r="E1362" s="58"/>
    </row>
    <row r="1363">
      <c r="A1363" s="57"/>
      <c r="B1363" s="58"/>
      <c r="C1363" s="59"/>
      <c r="D1363" s="60"/>
      <c r="E1363" s="58"/>
    </row>
    <row r="1364">
      <c r="A1364" s="57"/>
      <c r="B1364" s="58"/>
      <c r="C1364" s="59"/>
      <c r="D1364" s="60"/>
      <c r="E1364" s="58"/>
    </row>
    <row r="1365">
      <c r="A1365" s="57"/>
      <c r="B1365" s="58"/>
      <c r="C1365" s="59"/>
      <c r="D1365" s="60"/>
      <c r="E1365" s="58"/>
    </row>
    <row r="1366">
      <c r="A1366" s="57"/>
      <c r="B1366" s="58"/>
      <c r="C1366" s="59"/>
      <c r="D1366" s="60"/>
      <c r="E1366" s="58"/>
    </row>
    <row r="1367">
      <c r="A1367" s="57"/>
      <c r="B1367" s="58"/>
      <c r="C1367" s="59"/>
      <c r="D1367" s="60"/>
      <c r="E1367" s="58"/>
    </row>
    <row r="1368">
      <c r="A1368" s="57"/>
      <c r="B1368" s="58"/>
      <c r="C1368" s="59"/>
      <c r="D1368" s="60"/>
      <c r="E1368" s="58"/>
    </row>
    <row r="1369">
      <c r="A1369" s="57"/>
      <c r="B1369" s="58"/>
      <c r="C1369" s="59"/>
      <c r="D1369" s="60"/>
      <c r="E1369" s="58"/>
    </row>
    <row r="1370">
      <c r="A1370" s="57"/>
      <c r="B1370" s="58"/>
      <c r="C1370" s="59"/>
      <c r="D1370" s="60"/>
      <c r="E1370" s="58"/>
    </row>
    <row r="1371">
      <c r="A1371" s="57"/>
      <c r="B1371" s="58"/>
      <c r="C1371" s="59"/>
      <c r="D1371" s="60"/>
      <c r="E1371" s="58"/>
    </row>
    <row r="1372">
      <c r="A1372" s="57"/>
      <c r="B1372" s="58"/>
      <c r="C1372" s="59"/>
      <c r="D1372" s="60"/>
      <c r="E1372" s="58"/>
    </row>
    <row r="1373">
      <c r="A1373" s="57"/>
      <c r="B1373" s="58"/>
      <c r="C1373" s="59"/>
      <c r="D1373" s="60"/>
      <c r="E1373" s="58"/>
    </row>
    <row r="1374">
      <c r="A1374" s="57"/>
      <c r="B1374" s="58"/>
      <c r="C1374" s="59"/>
      <c r="D1374" s="60"/>
      <c r="E1374" s="58"/>
    </row>
    <row r="1375">
      <c r="A1375" s="57"/>
      <c r="B1375" s="58"/>
      <c r="C1375" s="59"/>
      <c r="D1375" s="60"/>
      <c r="E1375" s="58"/>
    </row>
    <row r="1376">
      <c r="A1376" s="57"/>
      <c r="B1376" s="58"/>
      <c r="C1376" s="59"/>
      <c r="D1376" s="60"/>
      <c r="E1376" s="58"/>
    </row>
    <row r="1377">
      <c r="A1377" s="57"/>
      <c r="B1377" s="58"/>
      <c r="C1377" s="59"/>
      <c r="D1377" s="60"/>
      <c r="E1377" s="58"/>
    </row>
    <row r="1378">
      <c r="A1378" s="57"/>
      <c r="B1378" s="58"/>
      <c r="C1378" s="59"/>
      <c r="D1378" s="60"/>
      <c r="E1378" s="58"/>
    </row>
    <row r="1379">
      <c r="A1379" s="57"/>
      <c r="B1379" s="58"/>
      <c r="C1379" s="59"/>
      <c r="D1379" s="60"/>
      <c r="E1379" s="58"/>
    </row>
    <row r="1380">
      <c r="A1380" s="57"/>
      <c r="B1380" s="58"/>
      <c r="C1380" s="59"/>
      <c r="D1380" s="60"/>
      <c r="E1380" s="58"/>
    </row>
    <row r="1381">
      <c r="A1381" s="57"/>
      <c r="B1381" s="58"/>
      <c r="C1381" s="59"/>
      <c r="D1381" s="60"/>
      <c r="E1381" s="58"/>
    </row>
    <row r="1382">
      <c r="A1382" s="57"/>
      <c r="B1382" s="58"/>
      <c r="C1382" s="59"/>
      <c r="D1382" s="60"/>
      <c r="E1382" s="58"/>
    </row>
    <row r="1383">
      <c r="A1383" s="57"/>
      <c r="B1383" s="58"/>
      <c r="C1383" s="59"/>
      <c r="D1383" s="60"/>
      <c r="E1383" s="58"/>
    </row>
    <row r="1384">
      <c r="A1384" s="57"/>
      <c r="B1384" s="58"/>
      <c r="C1384" s="59"/>
      <c r="D1384" s="60"/>
      <c r="E1384" s="58"/>
    </row>
    <row r="1385">
      <c r="A1385" s="57"/>
      <c r="B1385" s="58"/>
      <c r="C1385" s="59"/>
      <c r="D1385" s="60"/>
      <c r="E1385" s="58"/>
    </row>
    <row r="1386">
      <c r="A1386" s="57"/>
      <c r="B1386" s="58"/>
      <c r="C1386" s="59"/>
      <c r="D1386" s="60"/>
      <c r="E1386" s="58"/>
    </row>
    <row r="1387">
      <c r="A1387" s="57"/>
      <c r="B1387" s="58"/>
      <c r="C1387" s="59"/>
      <c r="D1387" s="60"/>
      <c r="E1387" s="58"/>
    </row>
    <row r="1388">
      <c r="A1388" s="57"/>
      <c r="B1388" s="58"/>
      <c r="C1388" s="59"/>
      <c r="D1388" s="60"/>
      <c r="E1388" s="58"/>
    </row>
    <row r="1389">
      <c r="A1389" s="57"/>
      <c r="B1389" s="58"/>
      <c r="C1389" s="59"/>
      <c r="D1389" s="60"/>
      <c r="E1389" s="58"/>
    </row>
    <row r="1390">
      <c r="A1390" s="57"/>
      <c r="B1390" s="58"/>
      <c r="C1390" s="59"/>
      <c r="D1390" s="60"/>
      <c r="E1390" s="58"/>
    </row>
    <row r="1391">
      <c r="A1391" s="57"/>
      <c r="B1391" s="58"/>
      <c r="C1391" s="59"/>
      <c r="D1391" s="60"/>
      <c r="E1391" s="58"/>
    </row>
    <row r="1392">
      <c r="A1392" s="57"/>
      <c r="B1392" s="58"/>
      <c r="C1392" s="59"/>
      <c r="D1392" s="60"/>
      <c r="E1392" s="58"/>
    </row>
    <row r="1393">
      <c r="A1393" s="57"/>
      <c r="B1393" s="58"/>
      <c r="C1393" s="59"/>
      <c r="D1393" s="60"/>
      <c r="E1393" s="58"/>
    </row>
    <row r="1394">
      <c r="A1394" s="57"/>
      <c r="B1394" s="58"/>
      <c r="C1394" s="59"/>
      <c r="D1394" s="60"/>
      <c r="E1394" s="58"/>
    </row>
    <row r="1395">
      <c r="A1395" s="57"/>
      <c r="B1395" s="58"/>
      <c r="C1395" s="59"/>
      <c r="D1395" s="60"/>
      <c r="E1395" s="58"/>
    </row>
    <row r="1396">
      <c r="A1396" s="57"/>
      <c r="B1396" s="58"/>
      <c r="C1396" s="59"/>
      <c r="D1396" s="60"/>
      <c r="E1396" s="58"/>
    </row>
    <row r="1397">
      <c r="A1397" s="57"/>
      <c r="B1397" s="58"/>
      <c r="C1397" s="59"/>
      <c r="D1397" s="60"/>
      <c r="E1397" s="58"/>
    </row>
    <row r="1398">
      <c r="A1398" s="57"/>
      <c r="B1398" s="58"/>
      <c r="C1398" s="59"/>
      <c r="D1398" s="60"/>
      <c r="E1398" s="58"/>
    </row>
    <row r="1399">
      <c r="A1399" s="57"/>
      <c r="B1399" s="58"/>
      <c r="C1399" s="59"/>
      <c r="D1399" s="60"/>
      <c r="E1399" s="58"/>
    </row>
    <row r="1400">
      <c r="A1400" s="57"/>
      <c r="B1400" s="58"/>
      <c r="C1400" s="59"/>
      <c r="D1400" s="60"/>
      <c r="E1400" s="58"/>
    </row>
    <row r="1401">
      <c r="A1401" s="57"/>
      <c r="B1401" s="58"/>
      <c r="C1401" s="59"/>
      <c r="D1401" s="60"/>
      <c r="E1401" s="58"/>
    </row>
    <row r="1402">
      <c r="A1402" s="57"/>
      <c r="B1402" s="58"/>
      <c r="C1402" s="59"/>
      <c r="D1402" s="60"/>
      <c r="E1402" s="58"/>
    </row>
    <row r="1403">
      <c r="A1403" s="57"/>
      <c r="B1403" s="58"/>
      <c r="C1403" s="59"/>
      <c r="D1403" s="60"/>
      <c r="E1403" s="58"/>
    </row>
    <row r="1404">
      <c r="A1404" s="57"/>
      <c r="B1404" s="58"/>
      <c r="C1404" s="59"/>
      <c r="D1404" s="60"/>
      <c r="E1404" s="58"/>
    </row>
    <row r="1405">
      <c r="A1405" s="57"/>
      <c r="B1405" s="58"/>
      <c r="C1405" s="59"/>
      <c r="D1405" s="60"/>
      <c r="E1405" s="58"/>
    </row>
    <row r="1406">
      <c r="A1406" s="57"/>
      <c r="B1406" s="58"/>
      <c r="C1406" s="59"/>
      <c r="D1406" s="60"/>
      <c r="E1406" s="58"/>
    </row>
    <row r="1407">
      <c r="A1407" s="57"/>
      <c r="B1407" s="58"/>
      <c r="C1407" s="59"/>
      <c r="D1407" s="60"/>
      <c r="E1407" s="58"/>
    </row>
    <row r="1408">
      <c r="A1408" s="57"/>
      <c r="B1408" s="58"/>
      <c r="C1408" s="59"/>
      <c r="D1408" s="60"/>
      <c r="E1408" s="58"/>
    </row>
    <row r="1409">
      <c r="A1409" s="57"/>
      <c r="B1409" s="58"/>
      <c r="C1409" s="59"/>
      <c r="D1409" s="60"/>
      <c r="E1409" s="58"/>
    </row>
    <row r="1410">
      <c r="A1410" s="57"/>
      <c r="B1410" s="58"/>
      <c r="C1410" s="59"/>
      <c r="D1410" s="60"/>
      <c r="E1410" s="58"/>
    </row>
    <row r="1411">
      <c r="A1411" s="57"/>
      <c r="B1411" s="58"/>
      <c r="C1411" s="59"/>
      <c r="D1411" s="60"/>
      <c r="E1411" s="58"/>
    </row>
    <row r="1412">
      <c r="A1412" s="57"/>
      <c r="B1412" s="58"/>
      <c r="C1412" s="59"/>
      <c r="D1412" s="60"/>
      <c r="E1412" s="58"/>
    </row>
    <row r="1413">
      <c r="A1413" s="57"/>
      <c r="B1413" s="58"/>
      <c r="C1413" s="59"/>
      <c r="D1413" s="60"/>
      <c r="E1413" s="58"/>
    </row>
    <row r="1414">
      <c r="A1414" s="57"/>
      <c r="B1414" s="58"/>
      <c r="C1414" s="59"/>
      <c r="D1414" s="60"/>
      <c r="E1414" s="58"/>
    </row>
    <row r="1415">
      <c r="A1415" s="57"/>
      <c r="B1415" s="58"/>
      <c r="C1415" s="59"/>
      <c r="D1415" s="60"/>
      <c r="E1415" s="58"/>
    </row>
    <row r="1416">
      <c r="A1416" s="57"/>
      <c r="B1416" s="58"/>
      <c r="C1416" s="59"/>
      <c r="D1416" s="60"/>
      <c r="E1416" s="58"/>
    </row>
    <row r="1417">
      <c r="A1417" s="57"/>
      <c r="B1417" s="58"/>
      <c r="C1417" s="59"/>
      <c r="D1417" s="60"/>
      <c r="E1417" s="58"/>
    </row>
    <row r="1418">
      <c r="A1418" s="57"/>
      <c r="B1418" s="58"/>
      <c r="C1418" s="59"/>
      <c r="D1418" s="60"/>
      <c r="E1418" s="58"/>
    </row>
    <row r="1419">
      <c r="A1419" s="57"/>
      <c r="B1419" s="58"/>
      <c r="C1419" s="59"/>
      <c r="D1419" s="60"/>
      <c r="E1419" s="58"/>
    </row>
    <row r="1420">
      <c r="A1420" s="57"/>
      <c r="B1420" s="58"/>
      <c r="C1420" s="59"/>
      <c r="D1420" s="60"/>
      <c r="E1420" s="58"/>
    </row>
    <row r="1421">
      <c r="A1421" s="57"/>
      <c r="B1421" s="58"/>
      <c r="C1421" s="59"/>
      <c r="D1421" s="60"/>
      <c r="E1421" s="58"/>
    </row>
    <row r="1422">
      <c r="A1422" s="57"/>
      <c r="B1422" s="58"/>
      <c r="C1422" s="59"/>
      <c r="D1422" s="60"/>
      <c r="E1422" s="58"/>
    </row>
    <row r="1423">
      <c r="A1423" s="57"/>
      <c r="B1423" s="58"/>
      <c r="C1423" s="59"/>
      <c r="D1423" s="60"/>
      <c r="E1423" s="58"/>
    </row>
    <row r="1424">
      <c r="A1424" s="57"/>
      <c r="B1424" s="58"/>
      <c r="C1424" s="59"/>
      <c r="D1424" s="60"/>
      <c r="E1424" s="58"/>
    </row>
    <row r="1425">
      <c r="A1425" s="57"/>
      <c r="B1425" s="58"/>
      <c r="C1425" s="59"/>
      <c r="D1425" s="60"/>
      <c r="E1425" s="58"/>
    </row>
    <row r="1426">
      <c r="A1426" s="57"/>
      <c r="B1426" s="58"/>
      <c r="C1426" s="59"/>
      <c r="D1426" s="60"/>
      <c r="E1426" s="58"/>
    </row>
    <row r="1427">
      <c r="A1427" s="57"/>
      <c r="B1427" s="58"/>
      <c r="C1427" s="59"/>
      <c r="D1427" s="60"/>
      <c r="E1427" s="58"/>
    </row>
    <row r="1428">
      <c r="A1428" s="57"/>
      <c r="B1428" s="58"/>
      <c r="C1428" s="59"/>
      <c r="D1428" s="60"/>
      <c r="E1428" s="58"/>
    </row>
    <row r="1429">
      <c r="A1429" s="57"/>
      <c r="B1429" s="58"/>
      <c r="C1429" s="59"/>
      <c r="D1429" s="60"/>
      <c r="E1429" s="58"/>
    </row>
    <row r="1430">
      <c r="A1430" s="57"/>
      <c r="B1430" s="58"/>
      <c r="C1430" s="59"/>
      <c r="D1430" s="60"/>
      <c r="E1430" s="58"/>
    </row>
    <row r="1431">
      <c r="A1431" s="57"/>
      <c r="B1431" s="58"/>
      <c r="C1431" s="59"/>
      <c r="D1431" s="60"/>
      <c r="E1431" s="58"/>
    </row>
    <row r="1432">
      <c r="A1432" s="57"/>
      <c r="B1432" s="58"/>
      <c r="C1432" s="59"/>
      <c r="D1432" s="60"/>
      <c r="E1432" s="58"/>
    </row>
    <row r="1433">
      <c r="A1433" s="57"/>
      <c r="B1433" s="58"/>
      <c r="C1433" s="59"/>
      <c r="D1433" s="60"/>
      <c r="E1433" s="58"/>
    </row>
    <row r="1434">
      <c r="A1434" s="57"/>
      <c r="B1434" s="58"/>
      <c r="C1434" s="59"/>
      <c r="D1434" s="60"/>
      <c r="E1434" s="58"/>
    </row>
    <row r="1435">
      <c r="A1435" s="57"/>
      <c r="B1435" s="58"/>
      <c r="C1435" s="59"/>
      <c r="D1435" s="60"/>
      <c r="E1435" s="58"/>
    </row>
    <row r="1436">
      <c r="A1436" s="57"/>
      <c r="B1436" s="58"/>
      <c r="C1436" s="59"/>
      <c r="D1436" s="60"/>
      <c r="E1436" s="58"/>
    </row>
    <row r="1437">
      <c r="A1437" s="57"/>
      <c r="B1437" s="58"/>
      <c r="C1437" s="59"/>
      <c r="D1437" s="60"/>
      <c r="E1437" s="58"/>
    </row>
    <row r="1438">
      <c r="A1438" s="57"/>
      <c r="B1438" s="58"/>
      <c r="C1438" s="59"/>
      <c r="D1438" s="60"/>
      <c r="E1438" s="58"/>
    </row>
    <row r="1439">
      <c r="A1439" s="57"/>
      <c r="B1439" s="58"/>
      <c r="C1439" s="59"/>
      <c r="D1439" s="60"/>
      <c r="E1439" s="58"/>
    </row>
    <row r="1440">
      <c r="A1440" s="57"/>
      <c r="B1440" s="58"/>
      <c r="C1440" s="59"/>
      <c r="D1440" s="60"/>
      <c r="E1440" s="58"/>
    </row>
    <row r="1441">
      <c r="A1441" s="57"/>
      <c r="B1441" s="58"/>
      <c r="C1441" s="59"/>
      <c r="D1441" s="60"/>
      <c r="E1441" s="58"/>
    </row>
    <row r="1442">
      <c r="A1442" s="57"/>
      <c r="B1442" s="58"/>
      <c r="C1442" s="59"/>
      <c r="D1442" s="60"/>
      <c r="E1442" s="58"/>
    </row>
    <row r="1443">
      <c r="A1443" s="57"/>
      <c r="B1443" s="58"/>
      <c r="C1443" s="59"/>
      <c r="D1443" s="60"/>
      <c r="E1443" s="58"/>
    </row>
    <row r="1444">
      <c r="A1444" s="57"/>
      <c r="B1444" s="58"/>
      <c r="C1444" s="59"/>
      <c r="D1444" s="60"/>
      <c r="E1444" s="58"/>
    </row>
    <row r="1445">
      <c r="A1445" s="57"/>
      <c r="B1445" s="58"/>
      <c r="C1445" s="59"/>
      <c r="D1445" s="60"/>
      <c r="E1445" s="58"/>
    </row>
    <row r="1446">
      <c r="A1446" s="57"/>
      <c r="B1446" s="58"/>
      <c r="C1446" s="59"/>
      <c r="D1446" s="60"/>
      <c r="E1446" s="58"/>
    </row>
    <row r="1447">
      <c r="A1447" s="57"/>
      <c r="B1447" s="58"/>
      <c r="C1447" s="59"/>
      <c r="D1447" s="60"/>
      <c r="E1447" s="58"/>
    </row>
    <row r="1448">
      <c r="A1448" s="57"/>
      <c r="B1448" s="58"/>
      <c r="C1448" s="59"/>
      <c r="D1448" s="60"/>
      <c r="E1448" s="58"/>
    </row>
    <row r="1449">
      <c r="A1449" s="57"/>
      <c r="B1449" s="58"/>
      <c r="C1449" s="59"/>
      <c r="D1449" s="60"/>
      <c r="E1449" s="58"/>
    </row>
    <row r="1450">
      <c r="A1450" s="57"/>
      <c r="B1450" s="58"/>
      <c r="C1450" s="59"/>
      <c r="D1450" s="60"/>
      <c r="E1450" s="58"/>
    </row>
    <row r="1451">
      <c r="A1451" s="57"/>
      <c r="B1451" s="58"/>
      <c r="C1451" s="59"/>
      <c r="D1451" s="60"/>
      <c r="E1451" s="58"/>
    </row>
    <row r="1452">
      <c r="A1452" s="57"/>
      <c r="B1452" s="58"/>
      <c r="C1452" s="59"/>
      <c r="D1452" s="60"/>
      <c r="E1452" s="58"/>
    </row>
    <row r="1453">
      <c r="A1453" s="57"/>
      <c r="B1453" s="58"/>
      <c r="C1453" s="59"/>
      <c r="D1453" s="60"/>
      <c r="E1453" s="58"/>
    </row>
    <row r="1454">
      <c r="A1454" s="57"/>
      <c r="B1454" s="58"/>
      <c r="C1454" s="59"/>
      <c r="D1454" s="60"/>
      <c r="E1454" s="58"/>
    </row>
    <row r="1455">
      <c r="A1455" s="57"/>
      <c r="B1455" s="58"/>
      <c r="C1455" s="59"/>
      <c r="D1455" s="60"/>
      <c r="E1455" s="58"/>
    </row>
    <row r="1456">
      <c r="A1456" s="57"/>
      <c r="B1456" s="58"/>
      <c r="C1456" s="59"/>
      <c r="D1456" s="60"/>
      <c r="E1456" s="58"/>
    </row>
    <row r="1457">
      <c r="A1457" s="57"/>
      <c r="B1457" s="58"/>
      <c r="C1457" s="59"/>
      <c r="D1457" s="60"/>
      <c r="E1457" s="58"/>
    </row>
    <row r="1458">
      <c r="A1458" s="57"/>
      <c r="B1458" s="58"/>
      <c r="C1458" s="59"/>
      <c r="D1458" s="60"/>
      <c r="E1458" s="58"/>
    </row>
    <row r="1459">
      <c r="A1459" s="57"/>
      <c r="B1459" s="58"/>
      <c r="C1459" s="59"/>
      <c r="D1459" s="60"/>
      <c r="E1459" s="58"/>
    </row>
    <row r="1460">
      <c r="A1460" s="57"/>
      <c r="B1460" s="58"/>
      <c r="C1460" s="59"/>
      <c r="D1460" s="60"/>
      <c r="E1460" s="58"/>
    </row>
    <row r="1461">
      <c r="A1461" s="57"/>
      <c r="B1461" s="58"/>
      <c r="C1461" s="59"/>
      <c r="D1461" s="60"/>
      <c r="E1461" s="58"/>
    </row>
    <row r="1462">
      <c r="A1462" s="57"/>
      <c r="B1462" s="58"/>
      <c r="C1462" s="59"/>
      <c r="D1462" s="60"/>
      <c r="E1462" s="58"/>
    </row>
    <row r="1463">
      <c r="A1463" s="57"/>
      <c r="B1463" s="58"/>
      <c r="C1463" s="59"/>
      <c r="D1463" s="60"/>
      <c r="E1463" s="58"/>
    </row>
    <row r="1464">
      <c r="A1464" s="57"/>
      <c r="B1464" s="58"/>
      <c r="C1464" s="59"/>
      <c r="D1464" s="60"/>
      <c r="E1464" s="58"/>
    </row>
    <row r="1465">
      <c r="A1465" s="57"/>
      <c r="B1465" s="58"/>
      <c r="C1465" s="59"/>
      <c r="D1465" s="60"/>
      <c r="E1465" s="58"/>
    </row>
    <row r="1466">
      <c r="A1466" s="57"/>
      <c r="B1466" s="58"/>
      <c r="C1466" s="59"/>
      <c r="D1466" s="60"/>
      <c r="E1466" s="58"/>
    </row>
    <row r="1467">
      <c r="A1467" s="57"/>
      <c r="B1467" s="58"/>
      <c r="C1467" s="59"/>
      <c r="D1467" s="60"/>
      <c r="E1467" s="58"/>
    </row>
    <row r="1468">
      <c r="A1468" s="57"/>
      <c r="B1468" s="58"/>
      <c r="C1468" s="59"/>
      <c r="D1468" s="60"/>
      <c r="E1468" s="58"/>
    </row>
    <row r="1469">
      <c r="A1469" s="57"/>
      <c r="B1469" s="58"/>
      <c r="C1469" s="59"/>
      <c r="D1469" s="60"/>
      <c r="E1469" s="58"/>
    </row>
    <row r="1470">
      <c r="A1470" s="57"/>
      <c r="B1470" s="58"/>
      <c r="C1470" s="59"/>
      <c r="D1470" s="60"/>
      <c r="E1470" s="58"/>
    </row>
    <row r="1471">
      <c r="A1471" s="57"/>
      <c r="B1471" s="58"/>
      <c r="C1471" s="59"/>
      <c r="D1471" s="60"/>
      <c r="E1471" s="58"/>
    </row>
    <row r="1472">
      <c r="A1472" s="57"/>
      <c r="B1472" s="58"/>
      <c r="C1472" s="59"/>
      <c r="D1472" s="60"/>
      <c r="E1472" s="58"/>
    </row>
    <row r="1473">
      <c r="A1473" s="57"/>
      <c r="B1473" s="58"/>
      <c r="C1473" s="59"/>
      <c r="D1473" s="60"/>
      <c r="E1473" s="58"/>
    </row>
    <row r="1474">
      <c r="A1474" s="57"/>
      <c r="B1474" s="58"/>
      <c r="C1474" s="59"/>
      <c r="D1474" s="60"/>
      <c r="E1474" s="58"/>
    </row>
    <row r="1475">
      <c r="A1475" s="57"/>
      <c r="B1475" s="58"/>
      <c r="C1475" s="59"/>
      <c r="D1475" s="60"/>
      <c r="E1475" s="58"/>
    </row>
    <row r="1476">
      <c r="A1476" s="57"/>
      <c r="B1476" s="58"/>
      <c r="C1476" s="59"/>
      <c r="D1476" s="60"/>
      <c r="E1476" s="58"/>
    </row>
    <row r="1477">
      <c r="A1477" s="57"/>
      <c r="B1477" s="58"/>
      <c r="C1477" s="59"/>
      <c r="D1477" s="60"/>
      <c r="E1477" s="58"/>
    </row>
    <row r="1478">
      <c r="A1478" s="57"/>
      <c r="B1478" s="58"/>
      <c r="C1478" s="59"/>
      <c r="D1478" s="60"/>
      <c r="E1478" s="58"/>
    </row>
    <row r="1479">
      <c r="A1479" s="57"/>
      <c r="B1479" s="58"/>
      <c r="C1479" s="59"/>
      <c r="D1479" s="60"/>
      <c r="E1479" s="58"/>
    </row>
    <row r="1480">
      <c r="A1480" s="57"/>
      <c r="B1480" s="58"/>
      <c r="C1480" s="59"/>
      <c r="D1480" s="60"/>
      <c r="E1480" s="58"/>
    </row>
    <row r="1481">
      <c r="A1481" s="57"/>
      <c r="B1481" s="58"/>
      <c r="C1481" s="59"/>
      <c r="D1481" s="60"/>
      <c r="E1481" s="58"/>
    </row>
    <row r="1482">
      <c r="A1482" s="57"/>
      <c r="B1482" s="58"/>
      <c r="C1482" s="59"/>
      <c r="D1482" s="60"/>
      <c r="E1482" s="58"/>
    </row>
    <row r="1483">
      <c r="A1483" s="57"/>
      <c r="B1483" s="58"/>
      <c r="C1483" s="59"/>
      <c r="D1483" s="60"/>
      <c r="E1483" s="58"/>
    </row>
    <row r="1484">
      <c r="A1484" s="57"/>
      <c r="B1484" s="58"/>
      <c r="C1484" s="59"/>
      <c r="D1484" s="60"/>
      <c r="E1484" s="58"/>
    </row>
    <row r="1485">
      <c r="A1485" s="57"/>
      <c r="B1485" s="58"/>
      <c r="C1485" s="59"/>
      <c r="D1485" s="60"/>
      <c r="E1485" s="58"/>
    </row>
    <row r="1486">
      <c r="A1486" s="57"/>
      <c r="B1486" s="58"/>
      <c r="C1486" s="59"/>
      <c r="D1486" s="60"/>
      <c r="E1486" s="58"/>
    </row>
    <row r="1487">
      <c r="A1487" s="57"/>
      <c r="B1487" s="58"/>
      <c r="C1487" s="59"/>
      <c r="D1487" s="60"/>
      <c r="E1487" s="58"/>
    </row>
    <row r="1488">
      <c r="A1488" s="57"/>
      <c r="B1488" s="58"/>
      <c r="C1488" s="59"/>
      <c r="D1488" s="60"/>
      <c r="E1488" s="58"/>
    </row>
    <row r="1489">
      <c r="A1489" s="57"/>
      <c r="B1489" s="58"/>
      <c r="C1489" s="59"/>
      <c r="D1489" s="60"/>
      <c r="E1489" s="58"/>
    </row>
    <row r="1490">
      <c r="A1490" s="57"/>
      <c r="B1490" s="58"/>
      <c r="C1490" s="59"/>
      <c r="D1490" s="60"/>
      <c r="E1490" s="58"/>
    </row>
    <row r="1491">
      <c r="A1491" s="57"/>
      <c r="B1491" s="58"/>
      <c r="C1491" s="59"/>
      <c r="D1491" s="60"/>
      <c r="E1491" s="58"/>
    </row>
    <row r="1492">
      <c r="A1492" s="57"/>
      <c r="B1492" s="58"/>
      <c r="C1492" s="59"/>
      <c r="D1492" s="60"/>
      <c r="E1492" s="58"/>
    </row>
    <row r="1493">
      <c r="A1493" s="57"/>
      <c r="B1493" s="58"/>
      <c r="C1493" s="59"/>
      <c r="D1493" s="60"/>
      <c r="E1493" s="58"/>
    </row>
    <row r="1494">
      <c r="A1494" s="57"/>
      <c r="B1494" s="58"/>
      <c r="C1494" s="59"/>
      <c r="D1494" s="60"/>
      <c r="E1494" s="58"/>
    </row>
    <row r="1495">
      <c r="A1495" s="57"/>
      <c r="B1495" s="58"/>
      <c r="C1495" s="59"/>
      <c r="D1495" s="60"/>
      <c r="E1495" s="58"/>
    </row>
    <row r="1496">
      <c r="A1496" s="57"/>
      <c r="B1496" s="58"/>
      <c r="C1496" s="59"/>
      <c r="D1496" s="60"/>
      <c r="E1496" s="58"/>
    </row>
    <row r="1497">
      <c r="A1497" s="57"/>
      <c r="B1497" s="58"/>
      <c r="C1497" s="59"/>
      <c r="D1497" s="60"/>
      <c r="E1497" s="58"/>
    </row>
    <row r="1498">
      <c r="A1498" s="57"/>
      <c r="B1498" s="58"/>
      <c r="C1498" s="59"/>
      <c r="D1498" s="60"/>
      <c r="E1498" s="58"/>
    </row>
    <row r="1499">
      <c r="A1499" s="57"/>
      <c r="B1499" s="58"/>
      <c r="C1499" s="59"/>
      <c r="D1499" s="60"/>
      <c r="E1499" s="58"/>
    </row>
    <row r="1500">
      <c r="A1500" s="57"/>
      <c r="B1500" s="58"/>
      <c r="C1500" s="59"/>
      <c r="D1500" s="60"/>
      <c r="E1500" s="58"/>
    </row>
    <row r="1501">
      <c r="A1501" s="57"/>
      <c r="B1501" s="58"/>
      <c r="C1501" s="59"/>
      <c r="D1501" s="60"/>
      <c r="E1501" s="58"/>
    </row>
    <row r="1502">
      <c r="A1502" s="57"/>
      <c r="B1502" s="58"/>
      <c r="C1502" s="59"/>
      <c r="D1502" s="60"/>
      <c r="E1502" s="58"/>
    </row>
    <row r="1503">
      <c r="A1503" s="57"/>
      <c r="B1503" s="58"/>
      <c r="C1503" s="59"/>
      <c r="D1503" s="60"/>
      <c r="E1503" s="58"/>
    </row>
    <row r="1504">
      <c r="A1504" s="57"/>
      <c r="B1504" s="58"/>
      <c r="C1504" s="59"/>
      <c r="D1504" s="60"/>
      <c r="E1504" s="58"/>
    </row>
    <row r="1505">
      <c r="A1505" s="57"/>
      <c r="B1505" s="58"/>
      <c r="C1505" s="59"/>
      <c r="D1505" s="60"/>
      <c r="E1505" s="58"/>
    </row>
    <row r="1506">
      <c r="A1506" s="57"/>
      <c r="B1506" s="58"/>
      <c r="C1506" s="59"/>
      <c r="D1506" s="60"/>
      <c r="E1506" s="58"/>
    </row>
    <row r="1507">
      <c r="A1507" s="57"/>
      <c r="B1507" s="58"/>
      <c r="C1507" s="59"/>
      <c r="D1507" s="60"/>
      <c r="E1507" s="58"/>
    </row>
    <row r="1508">
      <c r="A1508" s="57"/>
      <c r="B1508" s="58"/>
      <c r="C1508" s="59"/>
      <c r="D1508" s="60"/>
      <c r="E1508" s="58"/>
    </row>
    <row r="1509">
      <c r="A1509" s="57"/>
      <c r="B1509" s="58"/>
      <c r="C1509" s="59"/>
      <c r="D1509" s="60"/>
      <c r="E1509" s="58"/>
    </row>
    <row r="1510">
      <c r="A1510" s="57"/>
      <c r="B1510" s="58"/>
      <c r="C1510" s="59"/>
      <c r="D1510" s="60"/>
      <c r="E1510" s="58"/>
    </row>
    <row r="1511">
      <c r="A1511" s="57"/>
      <c r="B1511" s="58"/>
      <c r="C1511" s="59"/>
      <c r="D1511" s="60"/>
      <c r="E1511" s="58"/>
    </row>
    <row r="1512">
      <c r="A1512" s="57"/>
      <c r="B1512" s="58"/>
      <c r="C1512" s="59"/>
      <c r="D1512" s="60"/>
      <c r="E1512" s="58"/>
    </row>
    <row r="1513">
      <c r="A1513" s="57"/>
      <c r="B1513" s="58"/>
      <c r="C1513" s="59"/>
      <c r="D1513" s="60"/>
      <c r="E1513" s="58"/>
    </row>
    <row r="1514">
      <c r="A1514" s="57"/>
      <c r="B1514" s="58"/>
      <c r="C1514" s="59"/>
      <c r="D1514" s="60"/>
      <c r="E1514" s="58"/>
    </row>
    <row r="1515">
      <c r="A1515" s="57"/>
      <c r="B1515" s="58"/>
      <c r="C1515" s="59"/>
      <c r="D1515" s="60"/>
      <c r="E1515" s="58"/>
    </row>
    <row r="1516">
      <c r="A1516" s="57"/>
      <c r="B1516" s="58"/>
      <c r="C1516" s="59"/>
      <c r="D1516" s="60"/>
      <c r="E1516" s="58"/>
    </row>
    <row r="1517">
      <c r="A1517" s="57"/>
      <c r="B1517" s="58"/>
      <c r="C1517" s="59"/>
      <c r="D1517" s="60"/>
      <c r="E1517" s="58"/>
    </row>
    <row r="1518">
      <c r="A1518" s="57"/>
      <c r="B1518" s="58"/>
      <c r="C1518" s="59"/>
      <c r="D1518" s="60"/>
      <c r="E1518" s="58"/>
    </row>
    <row r="1519">
      <c r="A1519" s="57"/>
      <c r="B1519" s="58"/>
      <c r="C1519" s="59"/>
      <c r="D1519" s="60"/>
      <c r="E1519" s="58"/>
    </row>
    <row r="1520">
      <c r="A1520" s="57"/>
      <c r="B1520" s="58"/>
      <c r="C1520" s="59"/>
      <c r="D1520" s="60"/>
      <c r="E1520" s="58"/>
    </row>
    <row r="1521">
      <c r="A1521" s="57"/>
      <c r="B1521" s="58"/>
      <c r="C1521" s="59"/>
      <c r="D1521" s="60"/>
      <c r="E1521" s="58"/>
    </row>
    <row r="1522">
      <c r="A1522" s="57"/>
      <c r="B1522" s="58"/>
      <c r="C1522" s="59"/>
      <c r="D1522" s="60"/>
      <c r="E1522" s="58"/>
    </row>
    <row r="1523">
      <c r="A1523" s="57"/>
      <c r="B1523" s="58"/>
      <c r="C1523" s="59"/>
      <c r="D1523" s="60"/>
      <c r="E1523" s="58"/>
    </row>
    <row r="1524">
      <c r="A1524" s="57"/>
      <c r="B1524" s="58"/>
      <c r="C1524" s="59"/>
      <c r="D1524" s="60"/>
      <c r="E1524" s="58"/>
    </row>
    <row r="1525">
      <c r="A1525" s="57"/>
      <c r="B1525" s="58"/>
      <c r="C1525" s="59"/>
      <c r="D1525" s="60"/>
      <c r="E1525" s="58"/>
    </row>
    <row r="1526">
      <c r="A1526" s="57"/>
      <c r="B1526" s="58"/>
      <c r="C1526" s="59"/>
      <c r="D1526" s="60"/>
      <c r="E1526" s="58"/>
    </row>
    <row r="1527">
      <c r="A1527" s="57"/>
      <c r="B1527" s="58"/>
      <c r="C1527" s="59"/>
      <c r="D1527" s="60"/>
      <c r="E1527" s="58"/>
    </row>
    <row r="1528">
      <c r="A1528" s="57"/>
      <c r="B1528" s="58"/>
      <c r="C1528" s="59"/>
      <c r="D1528" s="60"/>
      <c r="E1528" s="58"/>
    </row>
    <row r="1529">
      <c r="A1529" s="57"/>
      <c r="B1529" s="58"/>
      <c r="C1529" s="59"/>
      <c r="D1529" s="60"/>
      <c r="E1529" s="58"/>
    </row>
    <row r="1530">
      <c r="A1530" s="57"/>
      <c r="B1530" s="58"/>
      <c r="C1530" s="59"/>
      <c r="D1530" s="60"/>
      <c r="E1530" s="58"/>
    </row>
    <row r="1531">
      <c r="A1531" s="57"/>
      <c r="B1531" s="58"/>
      <c r="C1531" s="59"/>
      <c r="D1531" s="60"/>
      <c r="E1531" s="58"/>
    </row>
    <row r="1532">
      <c r="A1532" s="57"/>
      <c r="B1532" s="58"/>
      <c r="C1532" s="59"/>
      <c r="D1532" s="60"/>
      <c r="E1532" s="58"/>
    </row>
    <row r="1533">
      <c r="A1533" s="57"/>
      <c r="B1533" s="58"/>
      <c r="C1533" s="59"/>
      <c r="D1533" s="60"/>
      <c r="E1533" s="58"/>
    </row>
    <row r="1534">
      <c r="A1534" s="57"/>
      <c r="B1534" s="58"/>
      <c r="C1534" s="59"/>
      <c r="D1534" s="60"/>
      <c r="E1534" s="58"/>
    </row>
    <row r="1535">
      <c r="A1535" s="57"/>
      <c r="B1535" s="58"/>
      <c r="C1535" s="59"/>
      <c r="D1535" s="60"/>
      <c r="E1535" s="58"/>
    </row>
    <row r="1536">
      <c r="A1536" s="57"/>
      <c r="B1536" s="58"/>
      <c r="C1536" s="59"/>
      <c r="D1536" s="60"/>
      <c r="E1536" s="58"/>
    </row>
    <row r="1537">
      <c r="A1537" s="57"/>
      <c r="B1537" s="58"/>
      <c r="C1537" s="59"/>
      <c r="D1537" s="60"/>
      <c r="E1537" s="58"/>
    </row>
    <row r="1538">
      <c r="A1538" s="57"/>
      <c r="B1538" s="58"/>
      <c r="C1538" s="59"/>
      <c r="D1538" s="60"/>
      <c r="E1538" s="58"/>
    </row>
    <row r="1539">
      <c r="A1539" s="57"/>
      <c r="B1539" s="58"/>
      <c r="C1539" s="59"/>
      <c r="D1539" s="60"/>
      <c r="E1539" s="58"/>
    </row>
    <row r="1540">
      <c r="A1540" s="57"/>
      <c r="B1540" s="58"/>
      <c r="C1540" s="59"/>
      <c r="D1540" s="60"/>
      <c r="E1540" s="58"/>
    </row>
    <row r="1541">
      <c r="A1541" s="57"/>
      <c r="B1541" s="58"/>
      <c r="C1541" s="59"/>
      <c r="D1541" s="60"/>
      <c r="E1541" s="58"/>
    </row>
    <row r="1542">
      <c r="A1542" s="57"/>
      <c r="B1542" s="58"/>
      <c r="C1542" s="59"/>
      <c r="D1542" s="60"/>
      <c r="E1542" s="58"/>
    </row>
    <row r="1543">
      <c r="A1543" s="57"/>
      <c r="B1543" s="58"/>
      <c r="C1543" s="59"/>
      <c r="D1543" s="60"/>
      <c r="E1543" s="58"/>
    </row>
    <row r="1544">
      <c r="A1544" s="57"/>
      <c r="B1544" s="58"/>
      <c r="C1544" s="59"/>
      <c r="D1544" s="60"/>
      <c r="E1544" s="58"/>
    </row>
    <row r="1545">
      <c r="A1545" s="57"/>
      <c r="B1545" s="58"/>
      <c r="C1545" s="59"/>
      <c r="D1545" s="60"/>
      <c r="E1545" s="58"/>
    </row>
    <row r="1546">
      <c r="A1546" s="57"/>
      <c r="B1546" s="58"/>
      <c r="C1546" s="59"/>
      <c r="D1546" s="60"/>
      <c r="E1546" s="58"/>
    </row>
    <row r="1547">
      <c r="A1547" s="57"/>
      <c r="B1547" s="58"/>
      <c r="C1547" s="59"/>
      <c r="D1547" s="60"/>
      <c r="E1547" s="58"/>
    </row>
    <row r="1548">
      <c r="A1548" s="57"/>
      <c r="B1548" s="58"/>
      <c r="C1548" s="59"/>
      <c r="D1548" s="60"/>
      <c r="E1548" s="58"/>
    </row>
    <row r="1549">
      <c r="A1549" s="57"/>
      <c r="B1549" s="58"/>
      <c r="C1549" s="59"/>
      <c r="D1549" s="60"/>
      <c r="E1549" s="58"/>
    </row>
    <row r="1550">
      <c r="A1550" s="57"/>
      <c r="B1550" s="58"/>
      <c r="C1550" s="59"/>
      <c r="D1550" s="60"/>
      <c r="E1550" s="58"/>
    </row>
    <row r="1551">
      <c r="A1551" s="57"/>
      <c r="B1551" s="58"/>
      <c r="C1551" s="59"/>
      <c r="D1551" s="60"/>
      <c r="E1551" s="58"/>
    </row>
    <row r="1552">
      <c r="A1552" s="57"/>
      <c r="B1552" s="58"/>
      <c r="C1552" s="59"/>
      <c r="D1552" s="60"/>
      <c r="E1552" s="58"/>
    </row>
    <row r="1553">
      <c r="A1553" s="57"/>
      <c r="B1553" s="58"/>
      <c r="C1553" s="59"/>
      <c r="D1553" s="60"/>
      <c r="E1553" s="58"/>
    </row>
    <row r="1554">
      <c r="A1554" s="57"/>
      <c r="B1554" s="58"/>
      <c r="C1554" s="59"/>
      <c r="D1554" s="60"/>
      <c r="E1554" s="58"/>
    </row>
    <row r="1555">
      <c r="A1555" s="57"/>
      <c r="B1555" s="58"/>
      <c r="C1555" s="59"/>
      <c r="D1555" s="60"/>
      <c r="E1555" s="58"/>
    </row>
    <row r="1556">
      <c r="A1556" s="57"/>
      <c r="B1556" s="58"/>
      <c r="C1556" s="59"/>
      <c r="D1556" s="60"/>
      <c r="E1556" s="58"/>
    </row>
    <row r="1557">
      <c r="A1557" s="57"/>
      <c r="B1557" s="58"/>
      <c r="C1557" s="59"/>
      <c r="D1557" s="60"/>
      <c r="E1557" s="58"/>
    </row>
    <row r="1558">
      <c r="A1558" s="57"/>
      <c r="B1558" s="58"/>
      <c r="C1558" s="59"/>
      <c r="D1558" s="60"/>
      <c r="E1558" s="58"/>
    </row>
    <row r="1559">
      <c r="A1559" s="57"/>
      <c r="B1559" s="58"/>
      <c r="C1559" s="59"/>
      <c r="D1559" s="60"/>
      <c r="E1559" s="58"/>
    </row>
    <row r="1560">
      <c r="A1560" s="57"/>
      <c r="B1560" s="58"/>
      <c r="C1560" s="59"/>
      <c r="D1560" s="60"/>
      <c r="E1560" s="58"/>
    </row>
    <row r="1561">
      <c r="A1561" s="57"/>
      <c r="B1561" s="58"/>
      <c r="C1561" s="59"/>
      <c r="D1561" s="60"/>
      <c r="E1561" s="58"/>
    </row>
    <row r="1562">
      <c r="A1562" s="57"/>
      <c r="B1562" s="58"/>
      <c r="C1562" s="59"/>
      <c r="D1562" s="60"/>
      <c r="E1562" s="58"/>
    </row>
    <row r="1563">
      <c r="A1563" s="57"/>
      <c r="B1563" s="58"/>
      <c r="C1563" s="59"/>
      <c r="D1563" s="60"/>
      <c r="E1563" s="58"/>
    </row>
    <row r="1564">
      <c r="A1564" s="57"/>
      <c r="B1564" s="58"/>
      <c r="C1564" s="59"/>
      <c r="D1564" s="60"/>
      <c r="E1564" s="58"/>
    </row>
    <row r="1565">
      <c r="A1565" s="57"/>
      <c r="B1565" s="58"/>
      <c r="C1565" s="59"/>
      <c r="D1565" s="60"/>
      <c r="E1565" s="58"/>
    </row>
    <row r="1566">
      <c r="A1566" s="57"/>
      <c r="B1566" s="58"/>
      <c r="C1566" s="59"/>
      <c r="D1566" s="60"/>
      <c r="E1566" s="58"/>
    </row>
    <row r="1567">
      <c r="A1567" s="57"/>
      <c r="B1567" s="58"/>
      <c r="C1567" s="59"/>
      <c r="D1567" s="60"/>
      <c r="E1567" s="58"/>
    </row>
    <row r="1568">
      <c r="A1568" s="57"/>
      <c r="B1568" s="58"/>
      <c r="C1568" s="59"/>
      <c r="D1568" s="60"/>
      <c r="E1568" s="58"/>
    </row>
    <row r="1569">
      <c r="A1569" s="57"/>
      <c r="B1569" s="58"/>
      <c r="C1569" s="59"/>
      <c r="D1569" s="60"/>
      <c r="E1569" s="58"/>
    </row>
    <row r="1570">
      <c r="A1570" s="57"/>
      <c r="B1570" s="58"/>
      <c r="C1570" s="59"/>
      <c r="D1570" s="60"/>
      <c r="E1570" s="58"/>
    </row>
    <row r="1571">
      <c r="A1571" s="57"/>
      <c r="B1571" s="58"/>
      <c r="C1571" s="59"/>
      <c r="D1571" s="60"/>
      <c r="E1571" s="58"/>
    </row>
    <row r="1572">
      <c r="A1572" s="57"/>
      <c r="B1572" s="58"/>
      <c r="C1572" s="59"/>
      <c r="D1572" s="60"/>
      <c r="E1572" s="58"/>
    </row>
    <row r="1573">
      <c r="A1573" s="57"/>
      <c r="B1573" s="58"/>
      <c r="C1573" s="59"/>
      <c r="D1573" s="60"/>
      <c r="E1573" s="58"/>
    </row>
    <row r="1574">
      <c r="A1574" s="57"/>
      <c r="B1574" s="58"/>
      <c r="C1574" s="59"/>
      <c r="D1574" s="60"/>
      <c r="E1574" s="58"/>
    </row>
    <row r="1575">
      <c r="A1575" s="57"/>
      <c r="B1575" s="58"/>
      <c r="C1575" s="59"/>
      <c r="D1575" s="60"/>
      <c r="E1575" s="58"/>
    </row>
    <row r="1576">
      <c r="A1576" s="57"/>
      <c r="B1576" s="58"/>
      <c r="C1576" s="59"/>
      <c r="D1576" s="60"/>
      <c r="E1576" s="58"/>
    </row>
    <row r="1577">
      <c r="A1577" s="57"/>
      <c r="B1577" s="58"/>
      <c r="C1577" s="59"/>
      <c r="D1577" s="60"/>
      <c r="E1577" s="58"/>
    </row>
    <row r="1578">
      <c r="A1578" s="57"/>
      <c r="B1578" s="58"/>
      <c r="C1578" s="59"/>
      <c r="D1578" s="60"/>
      <c r="E1578" s="58"/>
    </row>
    <row r="1579">
      <c r="A1579" s="57"/>
      <c r="B1579" s="58"/>
      <c r="C1579" s="59"/>
      <c r="D1579" s="60"/>
      <c r="E1579" s="58"/>
    </row>
    <row r="1580">
      <c r="A1580" s="57"/>
      <c r="B1580" s="58"/>
      <c r="C1580" s="59"/>
      <c r="D1580" s="60"/>
      <c r="E1580" s="58"/>
    </row>
    <row r="1581">
      <c r="A1581" s="57"/>
      <c r="B1581" s="58"/>
      <c r="C1581" s="59"/>
      <c r="D1581" s="60"/>
      <c r="E1581" s="58"/>
    </row>
    <row r="1582">
      <c r="A1582" s="57"/>
      <c r="B1582" s="58"/>
      <c r="C1582" s="59"/>
      <c r="D1582" s="60"/>
      <c r="E1582" s="58"/>
    </row>
    <row r="1583">
      <c r="A1583" s="57"/>
      <c r="B1583" s="58"/>
      <c r="C1583" s="59"/>
      <c r="D1583" s="60"/>
      <c r="E1583" s="58"/>
    </row>
    <row r="1584">
      <c r="A1584" s="57"/>
      <c r="B1584" s="58"/>
      <c r="C1584" s="59"/>
      <c r="D1584" s="60"/>
      <c r="E1584" s="58"/>
    </row>
    <row r="1585">
      <c r="A1585" s="57"/>
      <c r="B1585" s="58"/>
      <c r="C1585" s="59"/>
      <c r="D1585" s="60"/>
      <c r="E1585" s="58"/>
    </row>
    <row r="1586">
      <c r="A1586" s="57"/>
      <c r="B1586" s="58"/>
      <c r="C1586" s="59"/>
      <c r="D1586" s="60"/>
      <c r="E1586" s="58"/>
    </row>
    <row r="1587">
      <c r="A1587" s="57"/>
      <c r="B1587" s="58"/>
      <c r="C1587" s="59"/>
      <c r="D1587" s="60"/>
      <c r="E1587" s="58"/>
    </row>
    <row r="1588">
      <c r="A1588" s="57"/>
      <c r="B1588" s="58"/>
      <c r="C1588" s="59"/>
      <c r="D1588" s="60"/>
      <c r="E1588" s="58"/>
    </row>
    <row r="1589">
      <c r="A1589" s="57"/>
      <c r="B1589" s="58"/>
      <c r="C1589" s="59"/>
      <c r="D1589" s="60"/>
      <c r="E1589" s="58"/>
    </row>
    <row r="1590">
      <c r="A1590" s="57"/>
      <c r="B1590" s="58"/>
      <c r="C1590" s="59"/>
      <c r="D1590" s="60"/>
      <c r="E1590" s="58"/>
    </row>
    <row r="1591">
      <c r="A1591" s="57"/>
      <c r="B1591" s="58"/>
      <c r="C1591" s="59"/>
      <c r="D1591" s="60"/>
      <c r="E1591" s="58"/>
    </row>
    <row r="1592">
      <c r="A1592" s="57"/>
      <c r="B1592" s="58"/>
      <c r="C1592" s="59"/>
      <c r="D1592" s="60"/>
      <c r="E1592" s="58"/>
    </row>
    <row r="1593">
      <c r="A1593" s="57"/>
      <c r="B1593" s="58"/>
      <c r="C1593" s="59"/>
      <c r="D1593" s="60"/>
      <c r="E1593" s="58"/>
    </row>
    <row r="1594">
      <c r="A1594" s="57"/>
      <c r="B1594" s="58"/>
      <c r="C1594" s="59"/>
      <c r="D1594" s="60"/>
      <c r="E1594" s="58"/>
    </row>
    <row r="1595">
      <c r="A1595" s="57"/>
      <c r="B1595" s="58"/>
      <c r="C1595" s="59"/>
      <c r="D1595" s="60"/>
      <c r="E1595" s="58"/>
    </row>
    <row r="1596">
      <c r="A1596" s="57"/>
      <c r="B1596" s="58"/>
      <c r="C1596" s="59"/>
      <c r="D1596" s="60"/>
      <c r="E1596" s="58"/>
    </row>
    <row r="1597">
      <c r="A1597" s="57"/>
      <c r="B1597" s="58"/>
      <c r="C1597" s="59"/>
      <c r="D1597" s="60"/>
      <c r="E1597" s="58"/>
    </row>
    <row r="1598">
      <c r="A1598" s="57"/>
      <c r="B1598" s="58"/>
      <c r="C1598" s="59"/>
      <c r="D1598" s="60"/>
      <c r="E1598" s="58"/>
    </row>
    <row r="1599">
      <c r="A1599" s="57"/>
      <c r="B1599" s="58"/>
      <c r="C1599" s="59"/>
      <c r="D1599" s="60"/>
      <c r="E1599" s="58"/>
    </row>
    <row r="1600">
      <c r="A1600" s="57"/>
      <c r="B1600" s="58"/>
      <c r="C1600" s="59"/>
      <c r="D1600" s="60"/>
      <c r="E1600" s="58"/>
    </row>
    <row r="1601">
      <c r="A1601" s="57"/>
      <c r="B1601" s="58"/>
      <c r="C1601" s="59"/>
      <c r="D1601" s="60"/>
      <c r="E1601" s="58"/>
    </row>
    <row r="1602">
      <c r="A1602" s="57"/>
      <c r="B1602" s="58"/>
      <c r="C1602" s="59"/>
      <c r="D1602" s="60"/>
      <c r="E1602" s="58"/>
    </row>
    <row r="1603">
      <c r="A1603" s="57"/>
      <c r="B1603" s="58"/>
      <c r="C1603" s="59"/>
      <c r="D1603" s="60"/>
      <c r="E1603" s="58"/>
    </row>
    <row r="1604">
      <c r="A1604" s="57"/>
      <c r="B1604" s="58"/>
      <c r="C1604" s="59"/>
      <c r="D1604" s="60"/>
      <c r="E1604" s="58"/>
    </row>
    <row r="1605">
      <c r="A1605" s="57"/>
      <c r="B1605" s="58"/>
      <c r="C1605" s="59"/>
      <c r="D1605" s="60"/>
      <c r="E1605" s="58"/>
    </row>
    <row r="1606">
      <c r="A1606" s="57"/>
      <c r="B1606" s="58"/>
      <c r="C1606" s="59"/>
      <c r="D1606" s="60"/>
      <c r="E1606" s="58"/>
    </row>
    <row r="1607">
      <c r="A1607" s="57"/>
      <c r="B1607" s="58"/>
      <c r="C1607" s="59"/>
      <c r="D1607" s="60"/>
      <c r="E1607" s="58"/>
    </row>
    <row r="1608">
      <c r="A1608" s="57"/>
      <c r="B1608" s="58"/>
      <c r="C1608" s="59"/>
      <c r="D1608" s="60"/>
      <c r="E1608" s="58"/>
    </row>
    <row r="1609">
      <c r="A1609" s="57"/>
      <c r="B1609" s="58"/>
      <c r="C1609" s="59"/>
      <c r="D1609" s="60"/>
      <c r="E1609" s="58"/>
    </row>
    <row r="1610">
      <c r="A1610" s="57"/>
      <c r="B1610" s="58"/>
      <c r="C1610" s="59"/>
      <c r="D1610" s="60"/>
      <c r="E1610" s="58"/>
    </row>
    <row r="1611">
      <c r="A1611" s="57"/>
      <c r="B1611" s="58"/>
      <c r="C1611" s="59"/>
      <c r="D1611" s="60"/>
      <c r="E1611" s="58"/>
    </row>
    <row r="1612">
      <c r="A1612" s="57"/>
      <c r="B1612" s="58"/>
      <c r="C1612" s="59"/>
      <c r="D1612" s="60"/>
      <c r="E1612" s="58"/>
    </row>
    <row r="1613">
      <c r="A1613" s="57"/>
      <c r="B1613" s="58"/>
      <c r="C1613" s="59"/>
      <c r="D1613" s="60"/>
      <c r="E1613" s="58"/>
    </row>
    <row r="1614">
      <c r="A1614" s="57"/>
      <c r="B1614" s="58"/>
      <c r="C1614" s="59"/>
      <c r="D1614" s="60"/>
      <c r="E1614" s="58"/>
    </row>
    <row r="1615">
      <c r="A1615" s="57"/>
      <c r="B1615" s="58"/>
      <c r="C1615" s="59"/>
      <c r="D1615" s="60"/>
      <c r="E1615" s="58"/>
    </row>
    <row r="1616">
      <c r="A1616" s="57"/>
      <c r="B1616" s="58"/>
      <c r="C1616" s="59"/>
      <c r="D1616" s="60"/>
      <c r="E1616" s="58"/>
    </row>
    <row r="1617">
      <c r="A1617" s="57"/>
      <c r="B1617" s="58"/>
      <c r="C1617" s="59"/>
      <c r="D1617" s="60"/>
      <c r="E1617" s="58"/>
    </row>
    <row r="1618">
      <c r="A1618" s="57"/>
      <c r="B1618" s="58"/>
      <c r="C1618" s="59"/>
      <c r="D1618" s="60"/>
      <c r="E1618" s="58"/>
    </row>
    <row r="1619">
      <c r="A1619" s="57"/>
      <c r="B1619" s="58"/>
      <c r="C1619" s="59"/>
      <c r="D1619" s="60"/>
      <c r="E1619" s="58"/>
    </row>
    <row r="1620">
      <c r="A1620" s="57"/>
      <c r="B1620" s="58"/>
      <c r="C1620" s="59"/>
      <c r="D1620" s="60"/>
      <c r="E1620" s="58"/>
    </row>
    <row r="1621">
      <c r="A1621" s="57"/>
      <c r="B1621" s="58"/>
      <c r="C1621" s="59"/>
      <c r="D1621" s="60"/>
      <c r="E1621" s="58"/>
    </row>
    <row r="1622">
      <c r="A1622" s="57"/>
      <c r="B1622" s="58"/>
      <c r="C1622" s="59"/>
      <c r="D1622" s="60"/>
      <c r="E1622" s="58"/>
    </row>
    <row r="1623">
      <c r="A1623" s="57"/>
      <c r="B1623" s="58"/>
      <c r="C1623" s="59"/>
      <c r="D1623" s="60"/>
      <c r="E1623" s="58"/>
    </row>
    <row r="1624">
      <c r="A1624" s="57"/>
      <c r="B1624" s="58"/>
      <c r="C1624" s="59"/>
      <c r="D1624" s="60"/>
      <c r="E1624" s="58"/>
    </row>
    <row r="1625">
      <c r="A1625" s="57"/>
      <c r="B1625" s="58"/>
      <c r="C1625" s="59"/>
      <c r="D1625" s="60"/>
      <c r="E1625" s="58"/>
    </row>
    <row r="1626">
      <c r="A1626" s="57"/>
      <c r="B1626" s="58"/>
      <c r="C1626" s="59"/>
      <c r="D1626" s="60"/>
      <c r="E1626" s="58"/>
    </row>
    <row r="1627">
      <c r="A1627" s="57"/>
      <c r="B1627" s="58"/>
      <c r="C1627" s="59"/>
      <c r="D1627" s="60"/>
      <c r="E1627" s="58"/>
    </row>
    <row r="1628">
      <c r="A1628" s="57"/>
      <c r="B1628" s="58"/>
      <c r="C1628" s="59"/>
      <c r="D1628" s="60"/>
      <c r="E1628" s="58"/>
    </row>
    <row r="1629">
      <c r="A1629" s="57"/>
      <c r="B1629" s="58"/>
      <c r="C1629" s="59"/>
      <c r="D1629" s="60"/>
      <c r="E1629" s="58"/>
    </row>
    <row r="1630">
      <c r="A1630" s="57"/>
      <c r="B1630" s="58"/>
      <c r="C1630" s="59"/>
      <c r="D1630" s="60"/>
      <c r="E1630" s="58"/>
    </row>
    <row r="1631">
      <c r="A1631" s="57"/>
      <c r="B1631" s="58"/>
      <c r="C1631" s="59"/>
      <c r="D1631" s="60"/>
      <c r="E1631" s="58"/>
    </row>
    <row r="1632">
      <c r="A1632" s="57"/>
      <c r="B1632" s="58"/>
      <c r="C1632" s="59"/>
      <c r="D1632" s="60"/>
      <c r="E1632" s="58"/>
    </row>
    <row r="1633">
      <c r="A1633" s="57"/>
      <c r="B1633" s="58"/>
      <c r="C1633" s="59"/>
      <c r="D1633" s="60"/>
      <c r="E1633" s="58"/>
    </row>
    <row r="1634">
      <c r="A1634" s="57"/>
      <c r="B1634" s="58"/>
      <c r="C1634" s="59"/>
      <c r="D1634" s="60"/>
      <c r="E1634" s="58"/>
    </row>
    <row r="1635">
      <c r="A1635" s="57"/>
      <c r="B1635" s="58"/>
      <c r="C1635" s="59"/>
      <c r="D1635" s="60"/>
      <c r="E1635" s="58"/>
    </row>
    <row r="1636">
      <c r="A1636" s="57"/>
      <c r="B1636" s="58"/>
      <c r="C1636" s="59"/>
      <c r="D1636" s="60"/>
      <c r="E1636" s="58"/>
    </row>
    <row r="1637">
      <c r="A1637" s="57"/>
      <c r="B1637" s="58"/>
      <c r="C1637" s="59"/>
      <c r="D1637" s="60"/>
      <c r="E1637" s="58"/>
    </row>
    <row r="1638">
      <c r="A1638" s="57"/>
      <c r="B1638" s="58"/>
      <c r="C1638" s="59"/>
      <c r="D1638" s="60"/>
      <c r="E1638" s="58"/>
    </row>
    <row r="1639">
      <c r="A1639" s="57"/>
      <c r="B1639" s="58"/>
      <c r="C1639" s="59"/>
      <c r="D1639" s="60"/>
      <c r="E1639" s="58"/>
    </row>
    <row r="1640">
      <c r="A1640" s="57"/>
      <c r="B1640" s="58"/>
      <c r="C1640" s="59"/>
      <c r="D1640" s="60"/>
      <c r="E1640" s="58"/>
    </row>
    <row r="1641">
      <c r="A1641" s="57"/>
      <c r="B1641" s="58"/>
      <c r="C1641" s="59"/>
      <c r="D1641" s="60"/>
      <c r="E1641" s="58"/>
    </row>
    <row r="1642">
      <c r="A1642" s="57"/>
      <c r="B1642" s="58"/>
      <c r="C1642" s="59"/>
      <c r="D1642" s="60"/>
      <c r="E1642" s="58"/>
    </row>
    <row r="1643">
      <c r="A1643" s="57"/>
      <c r="B1643" s="58"/>
      <c r="C1643" s="59"/>
      <c r="D1643" s="60"/>
      <c r="E1643" s="58"/>
    </row>
    <row r="1644">
      <c r="A1644" s="57"/>
      <c r="B1644" s="58"/>
      <c r="C1644" s="59"/>
      <c r="D1644" s="60"/>
      <c r="E1644" s="58"/>
    </row>
    <row r="1645">
      <c r="A1645" s="57"/>
      <c r="B1645" s="58"/>
      <c r="C1645" s="59"/>
      <c r="D1645" s="60"/>
      <c r="E1645" s="58"/>
    </row>
    <row r="1646">
      <c r="A1646" s="57"/>
      <c r="B1646" s="58"/>
      <c r="C1646" s="59"/>
      <c r="D1646" s="60"/>
      <c r="E1646" s="58"/>
    </row>
    <row r="1647">
      <c r="A1647" s="57"/>
      <c r="B1647" s="58"/>
      <c r="C1647" s="59"/>
      <c r="D1647" s="60"/>
      <c r="E1647" s="58"/>
    </row>
    <row r="1648">
      <c r="A1648" s="57"/>
      <c r="B1648" s="58"/>
      <c r="C1648" s="59"/>
      <c r="D1648" s="60"/>
      <c r="E1648" s="58"/>
    </row>
    <row r="1649">
      <c r="A1649" s="57"/>
      <c r="B1649" s="58"/>
      <c r="C1649" s="59"/>
      <c r="D1649" s="60"/>
      <c r="E1649" s="58"/>
    </row>
    <row r="1650">
      <c r="A1650" s="57"/>
      <c r="B1650" s="58"/>
      <c r="C1650" s="59"/>
      <c r="D1650" s="60"/>
      <c r="E1650" s="58"/>
    </row>
    <row r="1651">
      <c r="A1651" s="57"/>
      <c r="B1651" s="58"/>
      <c r="C1651" s="59"/>
      <c r="D1651" s="60"/>
      <c r="E1651" s="58"/>
    </row>
    <row r="1652">
      <c r="A1652" s="57"/>
      <c r="B1652" s="58"/>
      <c r="C1652" s="59"/>
      <c r="D1652" s="60"/>
      <c r="E1652" s="58"/>
    </row>
    <row r="1653">
      <c r="A1653" s="57"/>
      <c r="B1653" s="58"/>
      <c r="C1653" s="59"/>
      <c r="D1653" s="60"/>
      <c r="E1653" s="58"/>
    </row>
    <row r="1654">
      <c r="A1654" s="57"/>
      <c r="B1654" s="58"/>
      <c r="C1654" s="59"/>
      <c r="D1654" s="60"/>
      <c r="E1654" s="58"/>
    </row>
    <row r="1655">
      <c r="A1655" s="57"/>
      <c r="B1655" s="58"/>
      <c r="C1655" s="59"/>
      <c r="D1655" s="60"/>
      <c r="E1655" s="58"/>
    </row>
    <row r="1656">
      <c r="A1656" s="57"/>
      <c r="B1656" s="58"/>
      <c r="C1656" s="59"/>
      <c r="D1656" s="60"/>
      <c r="E1656" s="58"/>
    </row>
    <row r="1657">
      <c r="A1657" s="57"/>
      <c r="B1657" s="58"/>
      <c r="C1657" s="59"/>
      <c r="D1657" s="60"/>
      <c r="E1657" s="58"/>
    </row>
    <row r="1658">
      <c r="A1658" s="57"/>
      <c r="B1658" s="58"/>
      <c r="C1658" s="59"/>
      <c r="D1658" s="60"/>
      <c r="E1658" s="58"/>
    </row>
    <row r="1659">
      <c r="A1659" s="57"/>
      <c r="B1659" s="58"/>
      <c r="C1659" s="59"/>
      <c r="D1659" s="60"/>
      <c r="E1659" s="58"/>
    </row>
    <row r="1660">
      <c r="A1660" s="57"/>
      <c r="B1660" s="58"/>
      <c r="C1660" s="59"/>
      <c r="D1660" s="60"/>
      <c r="E1660" s="58"/>
    </row>
    <row r="1661">
      <c r="A1661" s="57"/>
      <c r="B1661" s="58"/>
      <c r="C1661" s="59"/>
      <c r="D1661" s="60"/>
      <c r="E1661" s="58"/>
    </row>
    <row r="1662">
      <c r="A1662" s="57"/>
      <c r="B1662" s="58"/>
      <c r="C1662" s="59"/>
      <c r="D1662" s="60"/>
      <c r="E1662" s="58"/>
    </row>
    <row r="1663">
      <c r="A1663" s="57"/>
      <c r="B1663" s="58"/>
      <c r="C1663" s="59"/>
      <c r="D1663" s="60"/>
      <c r="E1663" s="58"/>
    </row>
    <row r="1664">
      <c r="A1664" s="57"/>
      <c r="B1664" s="58"/>
      <c r="C1664" s="59"/>
      <c r="D1664" s="60"/>
      <c r="E1664" s="58"/>
    </row>
    <row r="1665">
      <c r="A1665" s="57"/>
      <c r="B1665" s="58"/>
      <c r="C1665" s="59"/>
      <c r="D1665" s="60"/>
      <c r="E1665" s="58"/>
    </row>
    <row r="1666">
      <c r="A1666" s="57"/>
      <c r="B1666" s="58"/>
      <c r="C1666" s="59"/>
      <c r="D1666" s="60"/>
      <c r="E1666" s="58"/>
    </row>
    <row r="1667">
      <c r="A1667" s="57"/>
      <c r="B1667" s="58"/>
      <c r="C1667" s="59"/>
      <c r="D1667" s="60"/>
      <c r="E1667" s="58"/>
    </row>
    <row r="1668">
      <c r="A1668" s="57"/>
      <c r="B1668" s="58"/>
      <c r="C1668" s="59"/>
      <c r="D1668" s="60"/>
      <c r="E1668" s="58"/>
    </row>
    <row r="1669">
      <c r="A1669" s="57"/>
      <c r="B1669" s="58"/>
      <c r="C1669" s="59"/>
      <c r="D1669" s="60"/>
      <c r="E1669" s="58"/>
    </row>
    <row r="1670">
      <c r="A1670" s="57"/>
      <c r="B1670" s="58"/>
      <c r="C1670" s="59"/>
      <c r="D1670" s="60"/>
      <c r="E1670" s="58"/>
    </row>
    <row r="1671">
      <c r="A1671" s="57"/>
      <c r="B1671" s="58"/>
      <c r="C1671" s="59"/>
      <c r="D1671" s="60"/>
      <c r="E1671" s="58"/>
    </row>
    <row r="1672">
      <c r="A1672" s="57"/>
      <c r="B1672" s="58"/>
      <c r="C1672" s="59"/>
      <c r="D1672" s="60"/>
      <c r="E1672" s="58"/>
    </row>
    <row r="1673">
      <c r="A1673" s="57"/>
      <c r="B1673" s="58"/>
      <c r="C1673" s="59"/>
      <c r="D1673" s="60"/>
      <c r="E1673" s="58"/>
    </row>
    <row r="1674">
      <c r="A1674" s="57"/>
      <c r="B1674" s="58"/>
      <c r="C1674" s="59"/>
      <c r="D1674" s="60"/>
      <c r="E1674" s="58"/>
    </row>
    <row r="1675">
      <c r="A1675" s="57"/>
      <c r="B1675" s="58"/>
      <c r="C1675" s="59"/>
      <c r="D1675" s="60"/>
      <c r="E1675" s="58"/>
    </row>
    <row r="1676">
      <c r="A1676" s="57"/>
      <c r="B1676" s="58"/>
      <c r="C1676" s="59"/>
      <c r="D1676" s="60"/>
      <c r="E1676" s="58"/>
    </row>
    <row r="1677">
      <c r="A1677" s="57"/>
      <c r="B1677" s="58"/>
      <c r="C1677" s="59"/>
      <c r="D1677" s="60"/>
      <c r="E1677" s="58"/>
    </row>
    <row r="1678">
      <c r="A1678" s="57"/>
      <c r="B1678" s="58"/>
      <c r="C1678" s="59"/>
      <c r="D1678" s="60"/>
      <c r="E1678" s="58"/>
    </row>
    <row r="1679">
      <c r="A1679" s="57"/>
      <c r="B1679" s="58"/>
      <c r="C1679" s="59"/>
      <c r="D1679" s="60"/>
      <c r="E1679" s="58"/>
    </row>
    <row r="1680">
      <c r="A1680" s="57"/>
      <c r="B1680" s="58"/>
      <c r="C1680" s="59"/>
      <c r="D1680" s="60"/>
      <c r="E1680" s="58"/>
    </row>
    <row r="1681">
      <c r="A1681" s="57"/>
      <c r="B1681" s="58"/>
      <c r="C1681" s="59"/>
      <c r="D1681" s="60"/>
      <c r="E1681" s="58"/>
    </row>
    <row r="1682">
      <c r="A1682" s="57"/>
      <c r="B1682" s="58"/>
      <c r="C1682" s="59"/>
      <c r="D1682" s="60"/>
      <c r="E1682" s="58"/>
    </row>
    <row r="1683">
      <c r="A1683" s="57"/>
      <c r="B1683" s="58"/>
      <c r="C1683" s="59"/>
      <c r="D1683" s="60"/>
      <c r="E1683" s="58"/>
    </row>
    <row r="1684">
      <c r="A1684" s="57"/>
      <c r="B1684" s="58"/>
      <c r="C1684" s="59"/>
      <c r="D1684" s="60"/>
      <c r="E1684" s="58"/>
    </row>
    <row r="1685">
      <c r="A1685" s="57"/>
      <c r="B1685" s="58"/>
      <c r="C1685" s="59"/>
      <c r="D1685" s="60"/>
      <c r="E1685" s="58"/>
    </row>
    <row r="1686">
      <c r="A1686" s="57"/>
      <c r="B1686" s="58"/>
      <c r="C1686" s="59"/>
      <c r="D1686" s="60"/>
      <c r="E1686" s="58"/>
    </row>
    <row r="1687">
      <c r="A1687" s="57"/>
      <c r="B1687" s="58"/>
      <c r="C1687" s="59"/>
      <c r="D1687" s="60"/>
      <c r="E1687" s="58"/>
    </row>
    <row r="1688">
      <c r="A1688" s="57"/>
      <c r="B1688" s="58"/>
      <c r="C1688" s="59"/>
      <c r="D1688" s="60"/>
      <c r="E1688" s="58"/>
    </row>
    <row r="1689">
      <c r="A1689" s="57"/>
      <c r="B1689" s="58"/>
      <c r="C1689" s="59"/>
      <c r="D1689" s="60"/>
      <c r="E1689" s="58"/>
    </row>
    <row r="1690">
      <c r="A1690" s="57"/>
      <c r="B1690" s="58"/>
      <c r="C1690" s="59"/>
      <c r="D1690" s="60"/>
      <c r="E1690" s="58"/>
    </row>
    <row r="1691">
      <c r="A1691" s="57"/>
      <c r="B1691" s="58"/>
      <c r="C1691" s="59"/>
      <c r="D1691" s="60"/>
      <c r="E1691" s="58"/>
    </row>
    <row r="1692">
      <c r="A1692" s="57"/>
      <c r="B1692" s="58"/>
      <c r="C1692" s="59"/>
      <c r="D1692" s="60"/>
      <c r="E1692" s="58"/>
    </row>
    <row r="1693">
      <c r="A1693" s="57"/>
      <c r="B1693" s="58"/>
      <c r="C1693" s="59"/>
      <c r="D1693" s="60"/>
      <c r="E1693" s="58"/>
    </row>
    <row r="1694">
      <c r="A1694" s="57"/>
      <c r="B1694" s="58"/>
      <c r="C1694" s="59"/>
      <c r="D1694" s="60"/>
      <c r="E1694" s="58"/>
    </row>
    <row r="1695">
      <c r="A1695" s="57"/>
      <c r="B1695" s="58"/>
      <c r="C1695" s="59"/>
      <c r="D1695" s="60"/>
      <c r="E1695" s="58"/>
    </row>
    <row r="1696">
      <c r="A1696" s="57"/>
      <c r="B1696" s="58"/>
      <c r="C1696" s="59"/>
      <c r="D1696" s="60"/>
      <c r="E1696" s="58"/>
    </row>
    <row r="1697">
      <c r="A1697" s="57"/>
      <c r="B1697" s="58"/>
      <c r="C1697" s="59"/>
      <c r="D1697" s="60"/>
      <c r="E1697" s="58"/>
    </row>
    <row r="1698">
      <c r="A1698" s="57"/>
      <c r="B1698" s="58"/>
      <c r="C1698" s="59"/>
      <c r="D1698" s="60"/>
      <c r="E1698" s="58"/>
    </row>
    <row r="1699">
      <c r="A1699" s="57"/>
      <c r="B1699" s="58"/>
      <c r="C1699" s="59"/>
      <c r="D1699" s="60"/>
      <c r="E1699" s="58"/>
    </row>
    <row r="1700">
      <c r="A1700" s="57"/>
      <c r="B1700" s="58"/>
      <c r="C1700" s="59"/>
      <c r="D1700" s="60"/>
      <c r="E1700" s="58"/>
    </row>
    <row r="1701">
      <c r="A1701" s="57"/>
      <c r="B1701" s="58"/>
      <c r="C1701" s="59"/>
      <c r="D1701" s="60"/>
      <c r="E1701" s="58"/>
    </row>
    <row r="1702">
      <c r="A1702" s="57"/>
      <c r="B1702" s="58"/>
      <c r="C1702" s="59"/>
      <c r="D1702" s="60"/>
      <c r="E1702" s="58"/>
    </row>
    <row r="1703">
      <c r="A1703" s="57"/>
      <c r="B1703" s="58"/>
      <c r="C1703" s="59"/>
      <c r="D1703" s="60"/>
      <c r="E1703" s="58"/>
    </row>
    <row r="1704">
      <c r="A1704" s="57"/>
      <c r="B1704" s="58"/>
      <c r="C1704" s="59"/>
      <c r="D1704" s="60"/>
      <c r="E1704" s="58"/>
    </row>
    <row r="1705">
      <c r="A1705" s="57"/>
      <c r="B1705" s="58"/>
      <c r="C1705" s="59"/>
      <c r="D1705" s="60"/>
      <c r="E1705" s="58"/>
    </row>
    <row r="1706">
      <c r="A1706" s="57"/>
      <c r="B1706" s="58"/>
      <c r="C1706" s="59"/>
      <c r="D1706" s="60"/>
      <c r="E1706" s="58"/>
    </row>
    <row r="1707">
      <c r="A1707" s="57"/>
      <c r="B1707" s="58"/>
      <c r="C1707" s="59"/>
      <c r="D1707" s="60"/>
      <c r="E1707" s="58"/>
    </row>
    <row r="1708">
      <c r="A1708" s="57"/>
      <c r="B1708" s="58"/>
      <c r="C1708" s="59"/>
      <c r="D1708" s="60"/>
      <c r="E1708" s="58"/>
    </row>
    <row r="1709">
      <c r="A1709" s="57"/>
      <c r="B1709" s="58"/>
      <c r="C1709" s="59"/>
      <c r="D1709" s="60"/>
      <c r="E1709" s="58"/>
    </row>
    <row r="1710">
      <c r="A1710" s="57"/>
      <c r="B1710" s="58"/>
      <c r="C1710" s="59"/>
      <c r="D1710" s="60"/>
      <c r="E1710" s="58"/>
    </row>
    <row r="1711">
      <c r="A1711" s="57"/>
      <c r="B1711" s="58"/>
      <c r="C1711" s="59"/>
      <c r="D1711" s="60"/>
      <c r="E1711" s="58"/>
    </row>
    <row r="1712">
      <c r="A1712" s="57"/>
      <c r="B1712" s="58"/>
      <c r="C1712" s="59"/>
      <c r="D1712" s="60"/>
      <c r="E1712" s="58"/>
    </row>
    <row r="1713">
      <c r="A1713" s="57"/>
      <c r="B1713" s="58"/>
      <c r="C1713" s="59"/>
      <c r="D1713" s="60"/>
      <c r="E1713" s="58"/>
    </row>
    <row r="1714">
      <c r="A1714" s="57"/>
      <c r="B1714" s="58"/>
      <c r="C1714" s="59"/>
      <c r="D1714" s="60"/>
      <c r="E1714" s="58"/>
    </row>
    <row r="1715">
      <c r="A1715" s="57"/>
      <c r="B1715" s="58"/>
      <c r="C1715" s="59"/>
      <c r="D1715" s="60"/>
      <c r="E1715" s="58"/>
    </row>
    <row r="1716">
      <c r="A1716" s="57"/>
      <c r="B1716" s="58"/>
      <c r="C1716" s="59"/>
      <c r="D1716" s="60"/>
      <c r="E1716" s="58"/>
    </row>
    <row r="1717">
      <c r="A1717" s="57"/>
      <c r="B1717" s="58"/>
      <c r="C1717" s="59"/>
      <c r="D1717" s="60"/>
      <c r="E1717" s="58"/>
    </row>
    <row r="1718">
      <c r="A1718" s="57"/>
      <c r="B1718" s="58"/>
      <c r="C1718" s="59"/>
      <c r="D1718" s="60"/>
      <c r="E1718" s="58"/>
    </row>
    <row r="1719">
      <c r="A1719" s="57"/>
      <c r="B1719" s="58"/>
      <c r="C1719" s="59"/>
      <c r="D1719" s="60"/>
      <c r="E1719" s="58"/>
    </row>
    <row r="1720">
      <c r="A1720" s="57"/>
      <c r="B1720" s="58"/>
      <c r="C1720" s="59"/>
      <c r="D1720" s="60"/>
      <c r="E1720" s="58"/>
    </row>
    <row r="1721">
      <c r="A1721" s="57"/>
      <c r="B1721" s="58"/>
      <c r="C1721" s="59"/>
      <c r="D1721" s="60"/>
      <c r="E1721" s="58"/>
    </row>
    <row r="1722">
      <c r="A1722" s="57"/>
      <c r="B1722" s="58"/>
      <c r="C1722" s="59"/>
      <c r="D1722" s="60"/>
      <c r="E1722" s="58"/>
    </row>
    <row r="1723">
      <c r="A1723" s="57"/>
      <c r="B1723" s="58"/>
      <c r="C1723" s="59"/>
      <c r="D1723" s="60"/>
      <c r="E1723" s="58"/>
    </row>
    <row r="1724">
      <c r="A1724" s="57"/>
      <c r="B1724" s="58"/>
      <c r="C1724" s="59"/>
      <c r="D1724" s="60"/>
      <c r="E1724" s="58"/>
    </row>
    <row r="1725">
      <c r="A1725" s="57"/>
      <c r="B1725" s="58"/>
      <c r="C1725" s="59"/>
      <c r="D1725" s="60"/>
      <c r="E1725" s="58"/>
    </row>
    <row r="1726">
      <c r="A1726" s="57"/>
      <c r="B1726" s="58"/>
      <c r="C1726" s="59"/>
      <c r="D1726" s="60"/>
      <c r="E1726" s="58"/>
    </row>
    <row r="1727">
      <c r="A1727" s="57"/>
      <c r="B1727" s="58"/>
      <c r="C1727" s="59"/>
      <c r="D1727" s="60"/>
      <c r="E1727" s="58"/>
    </row>
    <row r="1728">
      <c r="A1728" s="57"/>
      <c r="B1728" s="58"/>
      <c r="C1728" s="59"/>
      <c r="D1728" s="60"/>
      <c r="E1728" s="58"/>
    </row>
    <row r="1729">
      <c r="A1729" s="57"/>
      <c r="B1729" s="58"/>
      <c r="C1729" s="59"/>
      <c r="D1729" s="60"/>
      <c r="E1729" s="58"/>
    </row>
    <row r="1730">
      <c r="A1730" s="57"/>
      <c r="B1730" s="58"/>
      <c r="C1730" s="59"/>
      <c r="D1730" s="60"/>
      <c r="E1730" s="58"/>
    </row>
    <row r="1731">
      <c r="A1731" s="57"/>
      <c r="B1731" s="58"/>
      <c r="C1731" s="59"/>
      <c r="D1731" s="60"/>
      <c r="E1731" s="58"/>
    </row>
    <row r="1732">
      <c r="A1732" s="57"/>
      <c r="B1732" s="58"/>
      <c r="C1732" s="59"/>
      <c r="D1732" s="60"/>
      <c r="E1732" s="58"/>
    </row>
    <row r="1733">
      <c r="A1733" s="57"/>
      <c r="B1733" s="58"/>
      <c r="C1733" s="59"/>
      <c r="D1733" s="60"/>
      <c r="E1733" s="58"/>
    </row>
    <row r="1734">
      <c r="A1734" s="57"/>
      <c r="B1734" s="58"/>
      <c r="C1734" s="59"/>
      <c r="D1734" s="60"/>
      <c r="E1734" s="58"/>
    </row>
    <row r="1735">
      <c r="A1735" s="57"/>
      <c r="B1735" s="58"/>
      <c r="C1735" s="59"/>
      <c r="D1735" s="60"/>
      <c r="E1735" s="58"/>
    </row>
    <row r="1736">
      <c r="A1736" s="57"/>
      <c r="B1736" s="58"/>
      <c r="C1736" s="59"/>
      <c r="D1736" s="60"/>
      <c r="E1736" s="58"/>
    </row>
    <row r="1737">
      <c r="A1737" s="57"/>
      <c r="B1737" s="58"/>
      <c r="C1737" s="59"/>
      <c r="D1737" s="60"/>
      <c r="E1737" s="58"/>
    </row>
    <row r="1738">
      <c r="A1738" s="57"/>
      <c r="B1738" s="58"/>
      <c r="C1738" s="59"/>
      <c r="D1738" s="60"/>
      <c r="E1738" s="58"/>
    </row>
    <row r="1739">
      <c r="A1739" s="57"/>
      <c r="B1739" s="58"/>
      <c r="C1739" s="59"/>
      <c r="D1739" s="60"/>
      <c r="E1739" s="58"/>
    </row>
    <row r="1740">
      <c r="A1740" s="57"/>
      <c r="B1740" s="58"/>
      <c r="C1740" s="59"/>
      <c r="D1740" s="60"/>
      <c r="E1740" s="58"/>
    </row>
    <row r="1741">
      <c r="A1741" s="57"/>
      <c r="B1741" s="58"/>
      <c r="C1741" s="59"/>
      <c r="D1741" s="60"/>
      <c r="E1741" s="58"/>
    </row>
    <row r="1742">
      <c r="A1742" s="57"/>
      <c r="B1742" s="58"/>
      <c r="C1742" s="59"/>
      <c r="D1742" s="60"/>
      <c r="E1742" s="58"/>
    </row>
    <row r="1743">
      <c r="A1743" s="57"/>
      <c r="B1743" s="58"/>
      <c r="C1743" s="59"/>
      <c r="D1743" s="60"/>
      <c r="E1743" s="58"/>
    </row>
    <row r="1744">
      <c r="A1744" s="57"/>
      <c r="B1744" s="58"/>
      <c r="C1744" s="59"/>
      <c r="D1744" s="60"/>
      <c r="E1744" s="58"/>
    </row>
    <row r="1745">
      <c r="A1745" s="57"/>
      <c r="B1745" s="58"/>
      <c r="C1745" s="59"/>
      <c r="D1745" s="60"/>
      <c r="E1745" s="58"/>
    </row>
    <row r="1746">
      <c r="A1746" s="57"/>
      <c r="B1746" s="58"/>
      <c r="C1746" s="59"/>
      <c r="D1746" s="60"/>
      <c r="E1746" s="58"/>
    </row>
    <row r="1747">
      <c r="A1747" s="57"/>
      <c r="B1747" s="58"/>
      <c r="C1747" s="59"/>
      <c r="D1747" s="60"/>
      <c r="E1747" s="58"/>
    </row>
    <row r="1748">
      <c r="A1748" s="57"/>
      <c r="B1748" s="58"/>
      <c r="C1748" s="59"/>
      <c r="D1748" s="60"/>
      <c r="E1748" s="58"/>
    </row>
    <row r="1749">
      <c r="A1749" s="57"/>
      <c r="B1749" s="58"/>
      <c r="C1749" s="59"/>
      <c r="D1749" s="60"/>
      <c r="E1749" s="58"/>
    </row>
    <row r="1750">
      <c r="A1750" s="57"/>
      <c r="B1750" s="58"/>
      <c r="C1750" s="59"/>
      <c r="D1750" s="60"/>
      <c r="E1750" s="58"/>
    </row>
    <row r="1751">
      <c r="A1751" s="57"/>
      <c r="B1751" s="58"/>
      <c r="C1751" s="59"/>
      <c r="D1751" s="60"/>
      <c r="E1751" s="58"/>
    </row>
    <row r="1752">
      <c r="A1752" s="57"/>
      <c r="B1752" s="58"/>
      <c r="C1752" s="59"/>
      <c r="D1752" s="60"/>
      <c r="E1752" s="58"/>
    </row>
    <row r="1753">
      <c r="A1753" s="57"/>
      <c r="B1753" s="58"/>
      <c r="C1753" s="59"/>
      <c r="D1753" s="60"/>
      <c r="E1753" s="58"/>
    </row>
    <row r="1754">
      <c r="A1754" s="57"/>
      <c r="B1754" s="58"/>
      <c r="C1754" s="59"/>
      <c r="D1754" s="60"/>
      <c r="E1754" s="58"/>
    </row>
    <row r="1755">
      <c r="A1755" s="57"/>
      <c r="B1755" s="58"/>
      <c r="C1755" s="59"/>
      <c r="D1755" s="60"/>
      <c r="E1755" s="58"/>
    </row>
    <row r="1756">
      <c r="A1756" s="57"/>
      <c r="B1756" s="58"/>
      <c r="C1756" s="59"/>
      <c r="D1756" s="60"/>
      <c r="E1756" s="58"/>
    </row>
    <row r="1757">
      <c r="A1757" s="57"/>
      <c r="B1757" s="58"/>
      <c r="C1757" s="59"/>
      <c r="D1757" s="60"/>
      <c r="E1757" s="58"/>
    </row>
    <row r="1758">
      <c r="A1758" s="57"/>
      <c r="B1758" s="58"/>
      <c r="C1758" s="59"/>
      <c r="D1758" s="60"/>
      <c r="E1758" s="58"/>
    </row>
    <row r="1759">
      <c r="A1759" s="57"/>
      <c r="B1759" s="58"/>
      <c r="C1759" s="59"/>
      <c r="D1759" s="60"/>
      <c r="E1759" s="58"/>
    </row>
    <row r="1760">
      <c r="A1760" s="57"/>
      <c r="B1760" s="58"/>
      <c r="C1760" s="59"/>
      <c r="D1760" s="60"/>
      <c r="E1760" s="58"/>
    </row>
    <row r="1761">
      <c r="A1761" s="57"/>
      <c r="B1761" s="58"/>
      <c r="C1761" s="59"/>
      <c r="D1761" s="60"/>
      <c r="E1761" s="58"/>
    </row>
    <row r="1762">
      <c r="A1762" s="57"/>
      <c r="B1762" s="58"/>
      <c r="C1762" s="59"/>
      <c r="D1762" s="60"/>
      <c r="E1762" s="58"/>
    </row>
    <row r="1763">
      <c r="A1763" s="57"/>
      <c r="B1763" s="58"/>
      <c r="C1763" s="59"/>
      <c r="D1763" s="60"/>
      <c r="E1763" s="58"/>
    </row>
    <row r="1764">
      <c r="A1764" s="57"/>
      <c r="B1764" s="58"/>
      <c r="C1764" s="59"/>
      <c r="D1764" s="60"/>
      <c r="E1764" s="58"/>
    </row>
    <row r="1765">
      <c r="A1765" s="57"/>
      <c r="B1765" s="58"/>
      <c r="C1765" s="59"/>
      <c r="D1765" s="60"/>
      <c r="E1765" s="58"/>
    </row>
    <row r="1766">
      <c r="A1766" s="57"/>
      <c r="B1766" s="58"/>
      <c r="C1766" s="59"/>
      <c r="D1766" s="60"/>
      <c r="E1766" s="58"/>
    </row>
    <row r="1767">
      <c r="A1767" s="57"/>
      <c r="B1767" s="58"/>
      <c r="C1767" s="59"/>
      <c r="D1767" s="60"/>
      <c r="E1767" s="58"/>
    </row>
    <row r="1768">
      <c r="A1768" s="57"/>
      <c r="B1768" s="58"/>
      <c r="C1768" s="59"/>
      <c r="D1768" s="60"/>
      <c r="E1768" s="58"/>
    </row>
    <row r="1769">
      <c r="A1769" s="57"/>
      <c r="B1769" s="58"/>
      <c r="C1769" s="59"/>
      <c r="D1769" s="60"/>
      <c r="E1769" s="58"/>
    </row>
    <row r="1770">
      <c r="A1770" s="57"/>
      <c r="B1770" s="58"/>
      <c r="C1770" s="59"/>
      <c r="D1770" s="60"/>
      <c r="E1770" s="58"/>
    </row>
    <row r="1771">
      <c r="A1771" s="57"/>
      <c r="B1771" s="58"/>
      <c r="C1771" s="59"/>
      <c r="D1771" s="60"/>
      <c r="E1771" s="58"/>
    </row>
    <row r="1772">
      <c r="A1772" s="57"/>
      <c r="B1772" s="58"/>
      <c r="C1772" s="59"/>
      <c r="D1772" s="60"/>
      <c r="E1772" s="58"/>
    </row>
    <row r="1773">
      <c r="A1773" s="57"/>
      <c r="B1773" s="58"/>
      <c r="C1773" s="59"/>
      <c r="D1773" s="60"/>
      <c r="E1773" s="58"/>
    </row>
    <row r="1774">
      <c r="A1774" s="57"/>
      <c r="B1774" s="58"/>
      <c r="C1774" s="59"/>
      <c r="D1774" s="60"/>
      <c r="E1774" s="58"/>
    </row>
    <row r="1775">
      <c r="A1775" s="57"/>
      <c r="B1775" s="58"/>
      <c r="C1775" s="59"/>
      <c r="D1775" s="60"/>
      <c r="E1775" s="58"/>
    </row>
    <row r="1776">
      <c r="A1776" s="57"/>
      <c r="B1776" s="58"/>
      <c r="C1776" s="59"/>
      <c r="D1776" s="60"/>
      <c r="E1776" s="58"/>
    </row>
    <row r="1777">
      <c r="A1777" s="57"/>
      <c r="B1777" s="58"/>
      <c r="C1777" s="59"/>
      <c r="D1777" s="60"/>
      <c r="E1777" s="58"/>
    </row>
    <row r="1778">
      <c r="A1778" s="57"/>
      <c r="B1778" s="58"/>
      <c r="C1778" s="59"/>
      <c r="D1778" s="60"/>
      <c r="E1778" s="58"/>
    </row>
    <row r="1779">
      <c r="A1779" s="57"/>
      <c r="B1779" s="58"/>
      <c r="C1779" s="59"/>
      <c r="D1779" s="60"/>
      <c r="E1779" s="58"/>
    </row>
    <row r="1780">
      <c r="A1780" s="57"/>
      <c r="B1780" s="58"/>
      <c r="C1780" s="59"/>
      <c r="D1780" s="60"/>
      <c r="E1780" s="58"/>
    </row>
    <row r="1781">
      <c r="A1781" s="57"/>
      <c r="B1781" s="58"/>
      <c r="C1781" s="59"/>
      <c r="D1781" s="60"/>
      <c r="E1781" s="58"/>
    </row>
    <row r="1782">
      <c r="A1782" s="57"/>
      <c r="B1782" s="58"/>
      <c r="C1782" s="59"/>
      <c r="D1782" s="60"/>
      <c r="E1782" s="58"/>
    </row>
    <row r="1783">
      <c r="A1783" s="57"/>
      <c r="B1783" s="58"/>
      <c r="C1783" s="59"/>
      <c r="D1783" s="60"/>
      <c r="E1783" s="58"/>
    </row>
    <row r="1784">
      <c r="A1784" s="57"/>
      <c r="B1784" s="58"/>
      <c r="C1784" s="59"/>
      <c r="D1784" s="60"/>
      <c r="E1784" s="58"/>
    </row>
    <row r="1785">
      <c r="A1785" s="57"/>
      <c r="B1785" s="58"/>
      <c r="C1785" s="59"/>
      <c r="D1785" s="60"/>
      <c r="E1785" s="58"/>
    </row>
    <row r="1786">
      <c r="A1786" s="57"/>
      <c r="B1786" s="58"/>
      <c r="C1786" s="59"/>
      <c r="D1786" s="60"/>
      <c r="E1786" s="58"/>
    </row>
    <row r="1787">
      <c r="A1787" s="57"/>
      <c r="B1787" s="58"/>
      <c r="C1787" s="59"/>
      <c r="D1787" s="60"/>
      <c r="E1787" s="58"/>
    </row>
    <row r="1788">
      <c r="A1788" s="57"/>
      <c r="B1788" s="58"/>
      <c r="C1788" s="59"/>
      <c r="D1788" s="60"/>
      <c r="E1788" s="58"/>
    </row>
    <row r="1789">
      <c r="A1789" s="57"/>
      <c r="B1789" s="58"/>
      <c r="C1789" s="59"/>
      <c r="D1789" s="60"/>
      <c r="E1789" s="58"/>
    </row>
    <row r="1790">
      <c r="A1790" s="57"/>
      <c r="B1790" s="58"/>
      <c r="C1790" s="59"/>
      <c r="D1790" s="60"/>
      <c r="E1790" s="58"/>
    </row>
    <row r="1791">
      <c r="A1791" s="57"/>
      <c r="B1791" s="58"/>
      <c r="C1791" s="59"/>
      <c r="D1791" s="60"/>
      <c r="E1791" s="58"/>
    </row>
    <row r="1792">
      <c r="A1792" s="57"/>
      <c r="B1792" s="58"/>
      <c r="C1792" s="59"/>
      <c r="D1792" s="60"/>
      <c r="E1792" s="58"/>
    </row>
    <row r="1793">
      <c r="A1793" s="57"/>
      <c r="B1793" s="58"/>
      <c r="C1793" s="59"/>
      <c r="D1793" s="60"/>
      <c r="E1793" s="58"/>
    </row>
    <row r="1794">
      <c r="A1794" s="57"/>
      <c r="B1794" s="58"/>
      <c r="C1794" s="59"/>
      <c r="D1794" s="60"/>
      <c r="E1794" s="58"/>
    </row>
    <row r="1795">
      <c r="A1795" s="57"/>
      <c r="B1795" s="58"/>
      <c r="C1795" s="59"/>
      <c r="D1795" s="60"/>
      <c r="E1795" s="58"/>
    </row>
    <row r="1796">
      <c r="A1796" s="57"/>
      <c r="B1796" s="58"/>
      <c r="C1796" s="59"/>
      <c r="D1796" s="60"/>
      <c r="E1796" s="58"/>
    </row>
    <row r="1797">
      <c r="A1797" s="57"/>
      <c r="B1797" s="58"/>
      <c r="C1797" s="59"/>
      <c r="D1797" s="60"/>
      <c r="E1797" s="58"/>
    </row>
    <row r="1798">
      <c r="A1798" s="57"/>
      <c r="B1798" s="58"/>
      <c r="C1798" s="59"/>
      <c r="D1798" s="60"/>
      <c r="E1798" s="58"/>
    </row>
    <row r="1799">
      <c r="A1799" s="57"/>
      <c r="B1799" s="58"/>
      <c r="C1799" s="59"/>
      <c r="D1799" s="60"/>
      <c r="E1799" s="58"/>
    </row>
    <row r="1800">
      <c r="A1800" s="57"/>
      <c r="B1800" s="58"/>
      <c r="C1800" s="59"/>
      <c r="D1800" s="60"/>
      <c r="E1800" s="58"/>
    </row>
    <row r="1801">
      <c r="A1801" s="57"/>
      <c r="B1801" s="58"/>
      <c r="C1801" s="59"/>
      <c r="D1801" s="60"/>
      <c r="E1801" s="58"/>
    </row>
    <row r="1802">
      <c r="A1802" s="57"/>
      <c r="B1802" s="58"/>
      <c r="C1802" s="59"/>
      <c r="D1802" s="60"/>
      <c r="E1802" s="58"/>
    </row>
    <row r="1803">
      <c r="A1803" s="57"/>
      <c r="B1803" s="58"/>
      <c r="C1803" s="59"/>
      <c r="D1803" s="60"/>
      <c r="E1803" s="58"/>
    </row>
    <row r="1804">
      <c r="A1804" s="57"/>
      <c r="B1804" s="58"/>
      <c r="C1804" s="59"/>
      <c r="D1804" s="60"/>
      <c r="E1804" s="58"/>
    </row>
    <row r="1805">
      <c r="A1805" s="57"/>
      <c r="B1805" s="58"/>
      <c r="C1805" s="59"/>
      <c r="D1805" s="60"/>
      <c r="E1805" s="58"/>
    </row>
    <row r="1806">
      <c r="A1806" s="57"/>
      <c r="B1806" s="58"/>
      <c r="C1806" s="59"/>
      <c r="D1806" s="60"/>
      <c r="E1806" s="58"/>
    </row>
    <row r="1807">
      <c r="A1807" s="57"/>
      <c r="B1807" s="58"/>
      <c r="C1807" s="59"/>
      <c r="D1807" s="60"/>
      <c r="E1807" s="58"/>
    </row>
    <row r="1808">
      <c r="A1808" s="57"/>
      <c r="B1808" s="58"/>
      <c r="C1808" s="59"/>
      <c r="D1808" s="60"/>
      <c r="E1808" s="58"/>
    </row>
    <row r="1809">
      <c r="A1809" s="57"/>
      <c r="B1809" s="58"/>
      <c r="C1809" s="59"/>
      <c r="D1809" s="60"/>
      <c r="E1809" s="58"/>
    </row>
    <row r="1810">
      <c r="A1810" s="57"/>
      <c r="B1810" s="58"/>
      <c r="C1810" s="59"/>
      <c r="D1810" s="60"/>
      <c r="E1810" s="58"/>
    </row>
    <row r="1811">
      <c r="A1811" s="57"/>
      <c r="B1811" s="58"/>
      <c r="C1811" s="59"/>
      <c r="D1811" s="60"/>
      <c r="E1811" s="58"/>
    </row>
    <row r="1812">
      <c r="A1812" s="57"/>
      <c r="B1812" s="58"/>
      <c r="C1812" s="59"/>
      <c r="D1812" s="60"/>
      <c r="E1812" s="58"/>
    </row>
    <row r="1813">
      <c r="A1813" s="57"/>
      <c r="B1813" s="58"/>
      <c r="C1813" s="59"/>
      <c r="D1813" s="60"/>
      <c r="E1813" s="58"/>
    </row>
    <row r="1814">
      <c r="A1814" s="57"/>
      <c r="B1814" s="58"/>
      <c r="C1814" s="59"/>
      <c r="D1814" s="60"/>
      <c r="E1814" s="58"/>
    </row>
    <row r="1815">
      <c r="A1815" s="57"/>
      <c r="B1815" s="58"/>
      <c r="C1815" s="59"/>
      <c r="D1815" s="60"/>
      <c r="E1815" s="58"/>
    </row>
    <row r="1816">
      <c r="A1816" s="57"/>
      <c r="B1816" s="58"/>
      <c r="C1816" s="59"/>
      <c r="D1816" s="60"/>
      <c r="E1816" s="58"/>
    </row>
    <row r="1817">
      <c r="A1817" s="57"/>
      <c r="B1817" s="58"/>
      <c r="C1817" s="59"/>
      <c r="D1817" s="60"/>
      <c r="E1817" s="58"/>
    </row>
    <row r="1818">
      <c r="A1818" s="57"/>
      <c r="B1818" s="58"/>
      <c r="C1818" s="59"/>
      <c r="D1818" s="60"/>
      <c r="E1818" s="58"/>
    </row>
    <row r="1819">
      <c r="A1819" s="57"/>
      <c r="B1819" s="58"/>
      <c r="C1819" s="59"/>
      <c r="D1819" s="60"/>
      <c r="E1819" s="58"/>
    </row>
    <row r="1820">
      <c r="A1820" s="57"/>
      <c r="B1820" s="58"/>
      <c r="C1820" s="59"/>
      <c r="D1820" s="60"/>
      <c r="E1820" s="58"/>
    </row>
    <row r="1821">
      <c r="A1821" s="57"/>
      <c r="B1821" s="58"/>
      <c r="C1821" s="59"/>
      <c r="D1821" s="60"/>
      <c r="E1821" s="58"/>
    </row>
    <row r="1822">
      <c r="A1822" s="57"/>
      <c r="B1822" s="58"/>
      <c r="C1822" s="59"/>
      <c r="D1822" s="60"/>
      <c r="E1822" s="58"/>
    </row>
    <row r="1823">
      <c r="A1823" s="57"/>
      <c r="B1823" s="58"/>
      <c r="C1823" s="59"/>
      <c r="D1823" s="60"/>
      <c r="E1823" s="58"/>
    </row>
    <row r="1824">
      <c r="A1824" s="57"/>
      <c r="B1824" s="58"/>
      <c r="C1824" s="59"/>
      <c r="D1824" s="60"/>
      <c r="E1824" s="58"/>
    </row>
    <row r="1825">
      <c r="A1825" s="57"/>
      <c r="B1825" s="58"/>
      <c r="C1825" s="59"/>
      <c r="D1825" s="60"/>
      <c r="E1825" s="58"/>
    </row>
    <row r="1826">
      <c r="A1826" s="57"/>
      <c r="B1826" s="58"/>
      <c r="C1826" s="59"/>
      <c r="D1826" s="60"/>
      <c r="E1826" s="58"/>
    </row>
    <row r="1827">
      <c r="A1827" s="57"/>
      <c r="B1827" s="58"/>
      <c r="C1827" s="59"/>
      <c r="D1827" s="60"/>
      <c r="E1827" s="58"/>
    </row>
    <row r="1828">
      <c r="A1828" s="57"/>
      <c r="B1828" s="58"/>
      <c r="C1828" s="59"/>
      <c r="D1828" s="60"/>
      <c r="E1828" s="58"/>
    </row>
    <row r="1829">
      <c r="A1829" s="57"/>
      <c r="B1829" s="58"/>
      <c r="C1829" s="59"/>
      <c r="D1829" s="60"/>
      <c r="E1829" s="58"/>
    </row>
    <row r="1830">
      <c r="A1830" s="57"/>
      <c r="B1830" s="58"/>
      <c r="C1830" s="59"/>
      <c r="D1830" s="60"/>
      <c r="E1830" s="58"/>
    </row>
    <row r="1831">
      <c r="A1831" s="57"/>
      <c r="B1831" s="58"/>
      <c r="C1831" s="59"/>
      <c r="D1831" s="60"/>
      <c r="E1831" s="58"/>
    </row>
    <row r="1832">
      <c r="A1832" s="57"/>
      <c r="B1832" s="58"/>
      <c r="C1832" s="59"/>
      <c r="D1832" s="60"/>
      <c r="E1832" s="58"/>
    </row>
    <row r="1833">
      <c r="A1833" s="57"/>
      <c r="B1833" s="58"/>
      <c r="C1833" s="59"/>
      <c r="D1833" s="60"/>
      <c r="E1833" s="58"/>
    </row>
    <row r="1834">
      <c r="A1834" s="57"/>
      <c r="B1834" s="58"/>
      <c r="C1834" s="59"/>
      <c r="D1834" s="60"/>
      <c r="E1834" s="58"/>
    </row>
    <row r="1835">
      <c r="A1835" s="57"/>
      <c r="B1835" s="58"/>
      <c r="C1835" s="59"/>
      <c r="D1835" s="60"/>
      <c r="E1835" s="58"/>
    </row>
    <row r="1836">
      <c r="A1836" s="57"/>
      <c r="B1836" s="58"/>
      <c r="C1836" s="59"/>
      <c r="D1836" s="60"/>
      <c r="E1836" s="58"/>
    </row>
    <row r="1837">
      <c r="A1837" s="57"/>
      <c r="B1837" s="58"/>
      <c r="C1837" s="59"/>
      <c r="D1837" s="60"/>
      <c r="E1837" s="58"/>
    </row>
    <row r="1838">
      <c r="A1838" s="57"/>
      <c r="B1838" s="58"/>
      <c r="C1838" s="59"/>
      <c r="D1838" s="60"/>
      <c r="E1838" s="58"/>
    </row>
    <row r="1839">
      <c r="A1839" s="57"/>
      <c r="B1839" s="58"/>
      <c r="C1839" s="59"/>
      <c r="D1839" s="60"/>
      <c r="E1839" s="58"/>
    </row>
    <row r="1840">
      <c r="A1840" s="57"/>
      <c r="B1840" s="58"/>
      <c r="C1840" s="59"/>
      <c r="D1840" s="60"/>
      <c r="E1840" s="58"/>
    </row>
    <row r="1841">
      <c r="A1841" s="57"/>
      <c r="B1841" s="58"/>
      <c r="C1841" s="59"/>
      <c r="D1841" s="60"/>
      <c r="E1841" s="58"/>
    </row>
    <row r="1842">
      <c r="A1842" s="57"/>
      <c r="B1842" s="58"/>
      <c r="C1842" s="59"/>
      <c r="D1842" s="60"/>
      <c r="E1842" s="58"/>
    </row>
    <row r="1843">
      <c r="A1843" s="57"/>
      <c r="B1843" s="58"/>
      <c r="C1843" s="59"/>
      <c r="D1843" s="60"/>
      <c r="E1843" s="58"/>
    </row>
    <row r="1844">
      <c r="A1844" s="57"/>
      <c r="B1844" s="58"/>
      <c r="C1844" s="59"/>
      <c r="D1844" s="60"/>
      <c r="E1844" s="58"/>
    </row>
    <row r="1845">
      <c r="A1845" s="57"/>
      <c r="B1845" s="58"/>
      <c r="C1845" s="59"/>
      <c r="D1845" s="60"/>
      <c r="E1845" s="58"/>
    </row>
    <row r="1846">
      <c r="A1846" s="57"/>
      <c r="B1846" s="58"/>
      <c r="C1846" s="59"/>
      <c r="D1846" s="60"/>
      <c r="E1846" s="58"/>
    </row>
    <row r="1847">
      <c r="A1847" s="57"/>
      <c r="B1847" s="58"/>
      <c r="C1847" s="59"/>
      <c r="D1847" s="60"/>
      <c r="E1847" s="58"/>
    </row>
    <row r="1848">
      <c r="A1848" s="57"/>
      <c r="B1848" s="58"/>
      <c r="C1848" s="59"/>
      <c r="D1848" s="60"/>
      <c r="E1848" s="58"/>
    </row>
    <row r="1849">
      <c r="A1849" s="57"/>
      <c r="B1849" s="58"/>
      <c r="C1849" s="59"/>
      <c r="D1849" s="60"/>
      <c r="E1849" s="58"/>
    </row>
    <row r="1850">
      <c r="A1850" s="57"/>
      <c r="B1850" s="58"/>
      <c r="C1850" s="59"/>
      <c r="D1850" s="60"/>
      <c r="E1850" s="58"/>
    </row>
    <row r="1851">
      <c r="A1851" s="57"/>
      <c r="B1851" s="58"/>
      <c r="C1851" s="59"/>
      <c r="D1851" s="60"/>
      <c r="E1851" s="58"/>
    </row>
    <row r="1852">
      <c r="A1852" s="57"/>
      <c r="B1852" s="58"/>
      <c r="C1852" s="59"/>
      <c r="D1852" s="60"/>
      <c r="E1852" s="58"/>
    </row>
    <row r="1853">
      <c r="A1853" s="57"/>
      <c r="B1853" s="58"/>
      <c r="C1853" s="59"/>
      <c r="D1853" s="60"/>
      <c r="E1853" s="58"/>
    </row>
    <row r="1854">
      <c r="A1854" s="57"/>
      <c r="B1854" s="58"/>
      <c r="C1854" s="59"/>
      <c r="D1854" s="60"/>
      <c r="E1854" s="58"/>
    </row>
    <row r="1855">
      <c r="A1855" s="57"/>
      <c r="B1855" s="58"/>
      <c r="C1855" s="59"/>
      <c r="D1855" s="60"/>
      <c r="E1855" s="58"/>
    </row>
    <row r="1856">
      <c r="A1856" s="57"/>
      <c r="B1856" s="58"/>
      <c r="C1856" s="59"/>
      <c r="D1856" s="60"/>
      <c r="E1856" s="58"/>
    </row>
    <row r="1857">
      <c r="A1857" s="57"/>
      <c r="B1857" s="58"/>
      <c r="C1857" s="59"/>
      <c r="D1857" s="60"/>
      <c r="E1857" s="58"/>
    </row>
    <row r="1858">
      <c r="A1858" s="57"/>
      <c r="B1858" s="58"/>
      <c r="C1858" s="59"/>
      <c r="D1858" s="60"/>
      <c r="E1858" s="58"/>
    </row>
    <row r="1859">
      <c r="A1859" s="57"/>
      <c r="B1859" s="58"/>
      <c r="C1859" s="59"/>
      <c r="D1859" s="60"/>
      <c r="E1859" s="58"/>
    </row>
    <row r="1860">
      <c r="A1860" s="57"/>
      <c r="B1860" s="58"/>
      <c r="C1860" s="59"/>
      <c r="D1860" s="60"/>
      <c r="E1860" s="58"/>
    </row>
    <row r="1861">
      <c r="A1861" s="57"/>
      <c r="B1861" s="58"/>
      <c r="C1861" s="59"/>
      <c r="D1861" s="60"/>
      <c r="E1861" s="58"/>
    </row>
    <row r="1862">
      <c r="A1862" s="57"/>
      <c r="B1862" s="58"/>
      <c r="C1862" s="59"/>
      <c r="D1862" s="60"/>
      <c r="E1862" s="58"/>
    </row>
    <row r="1863">
      <c r="A1863" s="57"/>
      <c r="B1863" s="58"/>
      <c r="C1863" s="59"/>
      <c r="D1863" s="60"/>
      <c r="E1863" s="58"/>
    </row>
    <row r="1864">
      <c r="A1864" s="57"/>
      <c r="B1864" s="58"/>
      <c r="C1864" s="59"/>
      <c r="D1864" s="60"/>
      <c r="E1864" s="58"/>
    </row>
    <row r="1865">
      <c r="A1865" s="57"/>
      <c r="B1865" s="58"/>
      <c r="C1865" s="59"/>
      <c r="D1865" s="60"/>
      <c r="E1865" s="58"/>
    </row>
    <row r="1866">
      <c r="A1866" s="57"/>
      <c r="B1866" s="58"/>
      <c r="C1866" s="59"/>
      <c r="D1866" s="60"/>
      <c r="E1866" s="58"/>
    </row>
    <row r="1867">
      <c r="A1867" s="57"/>
      <c r="B1867" s="58"/>
      <c r="C1867" s="59"/>
      <c r="D1867" s="60"/>
      <c r="E1867" s="58"/>
    </row>
    <row r="1868">
      <c r="A1868" s="57"/>
      <c r="B1868" s="58"/>
      <c r="C1868" s="59"/>
      <c r="D1868" s="60"/>
      <c r="E1868" s="58"/>
    </row>
    <row r="1869">
      <c r="A1869" s="57"/>
      <c r="B1869" s="58"/>
      <c r="C1869" s="59"/>
      <c r="D1869" s="60"/>
      <c r="E1869" s="58"/>
    </row>
    <row r="1870">
      <c r="A1870" s="57"/>
      <c r="B1870" s="58"/>
      <c r="C1870" s="59"/>
      <c r="D1870" s="60"/>
      <c r="E1870" s="58"/>
    </row>
    <row r="1871">
      <c r="A1871" s="57"/>
      <c r="B1871" s="58"/>
      <c r="C1871" s="59"/>
      <c r="D1871" s="60"/>
      <c r="E1871" s="58"/>
    </row>
    <row r="1872">
      <c r="A1872" s="57"/>
      <c r="B1872" s="58"/>
      <c r="C1872" s="59"/>
      <c r="D1872" s="60"/>
      <c r="E1872" s="58"/>
    </row>
    <row r="1873">
      <c r="A1873" s="57"/>
      <c r="B1873" s="58"/>
      <c r="C1873" s="59"/>
      <c r="D1873" s="60"/>
      <c r="E1873" s="58"/>
    </row>
    <row r="1874">
      <c r="A1874" s="57"/>
      <c r="B1874" s="58"/>
      <c r="C1874" s="59"/>
      <c r="D1874" s="60"/>
      <c r="E1874" s="58"/>
    </row>
    <row r="1875">
      <c r="A1875" s="57"/>
      <c r="B1875" s="58"/>
      <c r="C1875" s="59"/>
      <c r="D1875" s="60"/>
      <c r="E1875" s="58"/>
    </row>
    <row r="1876">
      <c r="A1876" s="57"/>
      <c r="B1876" s="58"/>
      <c r="C1876" s="59"/>
      <c r="D1876" s="60"/>
      <c r="E1876" s="58"/>
    </row>
    <row r="1877">
      <c r="A1877" s="57"/>
      <c r="B1877" s="58"/>
      <c r="C1877" s="59"/>
      <c r="D1877" s="60"/>
      <c r="E1877" s="58"/>
    </row>
    <row r="1878">
      <c r="A1878" s="57"/>
      <c r="B1878" s="58"/>
      <c r="C1878" s="59"/>
      <c r="D1878" s="60"/>
      <c r="E1878" s="58"/>
    </row>
    <row r="1879">
      <c r="A1879" s="57"/>
      <c r="B1879" s="58"/>
      <c r="C1879" s="59"/>
      <c r="D1879" s="60"/>
      <c r="E1879" s="58"/>
    </row>
    <row r="1880">
      <c r="A1880" s="57"/>
      <c r="B1880" s="58"/>
      <c r="C1880" s="59"/>
      <c r="D1880" s="60"/>
      <c r="E1880" s="58"/>
    </row>
    <row r="1881">
      <c r="A1881" s="57"/>
      <c r="B1881" s="58"/>
      <c r="C1881" s="59"/>
      <c r="D1881" s="60"/>
      <c r="E1881" s="58"/>
    </row>
    <row r="1882">
      <c r="A1882" s="57"/>
      <c r="B1882" s="58"/>
      <c r="C1882" s="59"/>
      <c r="D1882" s="60"/>
      <c r="E1882" s="58"/>
    </row>
    <row r="1883">
      <c r="A1883" s="57"/>
      <c r="B1883" s="58"/>
      <c r="C1883" s="59"/>
      <c r="D1883" s="60"/>
      <c r="E1883" s="58"/>
    </row>
    <row r="1884">
      <c r="A1884" s="57"/>
      <c r="B1884" s="58"/>
      <c r="C1884" s="59"/>
      <c r="D1884" s="60"/>
      <c r="E1884" s="58"/>
    </row>
    <row r="1885">
      <c r="A1885" s="57"/>
      <c r="B1885" s="58"/>
      <c r="C1885" s="59"/>
      <c r="D1885" s="60"/>
      <c r="E1885" s="58"/>
    </row>
    <row r="1886">
      <c r="A1886" s="57"/>
      <c r="B1886" s="58"/>
      <c r="C1886" s="59"/>
      <c r="D1886" s="60"/>
      <c r="E1886" s="58"/>
    </row>
    <row r="1887">
      <c r="A1887" s="57"/>
      <c r="B1887" s="58"/>
      <c r="C1887" s="59"/>
      <c r="D1887" s="60"/>
      <c r="E1887" s="58"/>
    </row>
    <row r="1888">
      <c r="A1888" s="57"/>
      <c r="B1888" s="58"/>
      <c r="C1888" s="59"/>
      <c r="D1888" s="60"/>
      <c r="E1888" s="58"/>
    </row>
    <row r="1889">
      <c r="A1889" s="57"/>
      <c r="B1889" s="58"/>
      <c r="C1889" s="59"/>
      <c r="D1889" s="60"/>
      <c r="E1889" s="58"/>
    </row>
    <row r="1890">
      <c r="A1890" s="57"/>
      <c r="B1890" s="58"/>
      <c r="C1890" s="59"/>
      <c r="D1890" s="60"/>
      <c r="E1890" s="58"/>
    </row>
    <row r="1891">
      <c r="A1891" s="57"/>
      <c r="B1891" s="58"/>
      <c r="C1891" s="59"/>
      <c r="D1891" s="60"/>
      <c r="E1891" s="58"/>
    </row>
    <row r="1892">
      <c r="A1892" s="57"/>
      <c r="B1892" s="58"/>
      <c r="C1892" s="59"/>
      <c r="D1892" s="60"/>
      <c r="E1892" s="58"/>
    </row>
    <row r="1893">
      <c r="A1893" s="57"/>
      <c r="B1893" s="58"/>
      <c r="C1893" s="59"/>
      <c r="D1893" s="60"/>
      <c r="E1893" s="58"/>
    </row>
    <row r="1894">
      <c r="A1894" s="57"/>
      <c r="B1894" s="58"/>
      <c r="C1894" s="59"/>
      <c r="D1894" s="60"/>
      <c r="E1894" s="58"/>
    </row>
    <row r="1895">
      <c r="A1895" s="57"/>
      <c r="B1895" s="58"/>
      <c r="C1895" s="59"/>
      <c r="D1895" s="60"/>
      <c r="E1895" s="58"/>
    </row>
    <row r="1896">
      <c r="A1896" s="57"/>
      <c r="B1896" s="58"/>
      <c r="C1896" s="59"/>
      <c r="D1896" s="60"/>
      <c r="E1896" s="58"/>
    </row>
    <row r="1897">
      <c r="A1897" s="57"/>
      <c r="B1897" s="58"/>
      <c r="C1897" s="59"/>
      <c r="D1897" s="60"/>
      <c r="E1897" s="58"/>
    </row>
    <row r="1898">
      <c r="A1898" s="57"/>
      <c r="B1898" s="58"/>
      <c r="C1898" s="59"/>
      <c r="D1898" s="60"/>
      <c r="E1898" s="58"/>
    </row>
    <row r="1899">
      <c r="A1899" s="57"/>
      <c r="B1899" s="58"/>
      <c r="C1899" s="59"/>
      <c r="D1899" s="60"/>
      <c r="E1899" s="58"/>
    </row>
    <row r="1900">
      <c r="A1900" s="57"/>
      <c r="B1900" s="58"/>
      <c r="C1900" s="59"/>
      <c r="D1900" s="60"/>
      <c r="E1900" s="58"/>
    </row>
    <row r="1901">
      <c r="A1901" s="57"/>
      <c r="B1901" s="58"/>
      <c r="C1901" s="59"/>
      <c r="D1901" s="60"/>
      <c r="E1901" s="58"/>
    </row>
    <row r="1902">
      <c r="A1902" s="57"/>
      <c r="B1902" s="58"/>
      <c r="C1902" s="59"/>
      <c r="D1902" s="60"/>
      <c r="E1902" s="58"/>
    </row>
    <row r="1903">
      <c r="A1903" s="57"/>
      <c r="B1903" s="58"/>
      <c r="C1903" s="59"/>
      <c r="D1903" s="60"/>
      <c r="E1903" s="58"/>
    </row>
    <row r="1904">
      <c r="A1904" s="57"/>
      <c r="B1904" s="58"/>
      <c r="C1904" s="59"/>
      <c r="D1904" s="60"/>
      <c r="E1904" s="58"/>
    </row>
    <row r="1905">
      <c r="A1905" s="57"/>
      <c r="B1905" s="58"/>
      <c r="C1905" s="59"/>
      <c r="D1905" s="60"/>
      <c r="E1905" s="58"/>
    </row>
    <row r="1906">
      <c r="A1906" s="57"/>
      <c r="B1906" s="58"/>
      <c r="C1906" s="59"/>
      <c r="D1906" s="60"/>
      <c r="E1906" s="58"/>
    </row>
    <row r="1907">
      <c r="A1907" s="57"/>
      <c r="B1907" s="58"/>
      <c r="C1907" s="59"/>
      <c r="D1907" s="60"/>
      <c r="E1907" s="58"/>
    </row>
    <row r="1908">
      <c r="A1908" s="57"/>
      <c r="B1908" s="58"/>
      <c r="C1908" s="59"/>
      <c r="D1908" s="60"/>
      <c r="E1908" s="58"/>
    </row>
    <row r="1909">
      <c r="A1909" s="57"/>
      <c r="B1909" s="58"/>
      <c r="C1909" s="59"/>
      <c r="D1909" s="60"/>
      <c r="E1909" s="58"/>
    </row>
    <row r="1910">
      <c r="A1910" s="57"/>
      <c r="B1910" s="58"/>
      <c r="C1910" s="59"/>
      <c r="D1910" s="60"/>
      <c r="E1910" s="58"/>
    </row>
    <row r="1911">
      <c r="A1911" s="57"/>
      <c r="B1911" s="58"/>
      <c r="C1911" s="59"/>
      <c r="D1911" s="60"/>
      <c r="E1911" s="58"/>
    </row>
    <row r="1912">
      <c r="A1912" s="57"/>
      <c r="B1912" s="58"/>
      <c r="C1912" s="59"/>
      <c r="D1912" s="60"/>
      <c r="E1912" s="58"/>
    </row>
    <row r="1913">
      <c r="A1913" s="57"/>
      <c r="B1913" s="58"/>
      <c r="C1913" s="59"/>
      <c r="D1913" s="60"/>
      <c r="E1913" s="58"/>
    </row>
    <row r="1914">
      <c r="A1914" s="57"/>
      <c r="B1914" s="58"/>
      <c r="C1914" s="59"/>
      <c r="D1914" s="60"/>
      <c r="E1914" s="58"/>
    </row>
    <row r="1915">
      <c r="A1915" s="57"/>
      <c r="B1915" s="58"/>
      <c r="C1915" s="59"/>
      <c r="D1915" s="60"/>
      <c r="E1915" s="58"/>
    </row>
    <row r="1916">
      <c r="A1916" s="57"/>
      <c r="B1916" s="58"/>
      <c r="C1916" s="59"/>
      <c r="D1916" s="60"/>
      <c r="E1916" s="58"/>
    </row>
    <row r="1917">
      <c r="A1917" s="57"/>
      <c r="B1917" s="58"/>
      <c r="C1917" s="59"/>
      <c r="D1917" s="60"/>
      <c r="E1917" s="58"/>
    </row>
    <row r="1918">
      <c r="A1918" s="57"/>
      <c r="B1918" s="58"/>
      <c r="C1918" s="59"/>
      <c r="D1918" s="60"/>
      <c r="E1918" s="58"/>
    </row>
    <row r="1919">
      <c r="A1919" s="57"/>
      <c r="B1919" s="58"/>
      <c r="C1919" s="59"/>
      <c r="D1919" s="60"/>
      <c r="E1919" s="58"/>
    </row>
    <row r="1920">
      <c r="A1920" s="57"/>
      <c r="B1920" s="58"/>
      <c r="C1920" s="59"/>
      <c r="D1920" s="60"/>
      <c r="E1920" s="58"/>
    </row>
    <row r="1921">
      <c r="A1921" s="57"/>
      <c r="B1921" s="58"/>
      <c r="C1921" s="59"/>
      <c r="D1921" s="60"/>
      <c r="E1921" s="58"/>
    </row>
    <row r="1922">
      <c r="A1922" s="57"/>
      <c r="B1922" s="58"/>
      <c r="C1922" s="59"/>
      <c r="D1922" s="60"/>
      <c r="E1922" s="58"/>
    </row>
    <row r="1923">
      <c r="A1923" s="57"/>
      <c r="B1923" s="58"/>
      <c r="C1923" s="59"/>
      <c r="D1923" s="60"/>
      <c r="E1923" s="58"/>
    </row>
    <row r="1924">
      <c r="A1924" s="57"/>
      <c r="B1924" s="58"/>
      <c r="C1924" s="59"/>
      <c r="D1924" s="60"/>
      <c r="E1924" s="58"/>
    </row>
    <row r="1925">
      <c r="A1925" s="57"/>
      <c r="B1925" s="58"/>
      <c r="C1925" s="59"/>
      <c r="D1925" s="60"/>
      <c r="E1925" s="58"/>
    </row>
    <row r="1926">
      <c r="A1926" s="57"/>
      <c r="B1926" s="58"/>
      <c r="C1926" s="59"/>
      <c r="D1926" s="60"/>
      <c r="E1926" s="58"/>
    </row>
    <row r="1927">
      <c r="A1927" s="57"/>
      <c r="B1927" s="58"/>
      <c r="C1927" s="59"/>
      <c r="D1927" s="60"/>
      <c r="E1927" s="58"/>
    </row>
    <row r="1928">
      <c r="A1928" s="57"/>
      <c r="B1928" s="58"/>
      <c r="C1928" s="59"/>
      <c r="D1928" s="60"/>
      <c r="E1928" s="58"/>
    </row>
    <row r="1929">
      <c r="A1929" s="57"/>
      <c r="B1929" s="58"/>
      <c r="C1929" s="59"/>
      <c r="D1929" s="60"/>
      <c r="E1929" s="58"/>
    </row>
    <row r="1930">
      <c r="A1930" s="57"/>
      <c r="B1930" s="58"/>
      <c r="C1930" s="59"/>
      <c r="D1930" s="60"/>
      <c r="E1930" s="58"/>
    </row>
    <row r="1931">
      <c r="A1931" s="57"/>
      <c r="B1931" s="58"/>
      <c r="C1931" s="59"/>
      <c r="D1931" s="60"/>
      <c r="E1931" s="58"/>
    </row>
    <row r="1932">
      <c r="A1932" s="57"/>
      <c r="B1932" s="58"/>
      <c r="C1932" s="59"/>
      <c r="D1932" s="60"/>
      <c r="E1932" s="58"/>
    </row>
    <row r="1933">
      <c r="A1933" s="57"/>
      <c r="B1933" s="58"/>
      <c r="C1933" s="59"/>
      <c r="D1933" s="60"/>
      <c r="E1933" s="58"/>
    </row>
    <row r="1934">
      <c r="A1934" s="57"/>
      <c r="B1934" s="58"/>
      <c r="C1934" s="59"/>
      <c r="D1934" s="60"/>
      <c r="E1934" s="58"/>
    </row>
    <row r="1935">
      <c r="A1935" s="57"/>
      <c r="B1935" s="58"/>
      <c r="C1935" s="59"/>
      <c r="D1935" s="60"/>
      <c r="E1935" s="58"/>
    </row>
    <row r="1936">
      <c r="A1936" s="57"/>
      <c r="B1936" s="58"/>
      <c r="C1936" s="59"/>
      <c r="D1936" s="60"/>
      <c r="E1936" s="58"/>
    </row>
    <row r="1937">
      <c r="A1937" s="57"/>
      <c r="B1937" s="58"/>
      <c r="C1937" s="59"/>
      <c r="D1937" s="60"/>
      <c r="E1937" s="58"/>
    </row>
    <row r="1938">
      <c r="A1938" s="57"/>
      <c r="B1938" s="58"/>
      <c r="C1938" s="59"/>
      <c r="D1938" s="60"/>
      <c r="E1938" s="58"/>
    </row>
    <row r="1939">
      <c r="A1939" s="57"/>
      <c r="B1939" s="58"/>
      <c r="C1939" s="59"/>
      <c r="D1939" s="60"/>
      <c r="E1939" s="58"/>
    </row>
    <row r="1940">
      <c r="A1940" s="57"/>
      <c r="B1940" s="58"/>
      <c r="C1940" s="59"/>
      <c r="D1940" s="60"/>
      <c r="E1940" s="58"/>
    </row>
    <row r="1941">
      <c r="A1941" s="57"/>
      <c r="B1941" s="58"/>
      <c r="C1941" s="59"/>
      <c r="D1941" s="60"/>
      <c r="E1941" s="58"/>
    </row>
    <row r="1942">
      <c r="A1942" s="57"/>
      <c r="B1942" s="58"/>
      <c r="C1942" s="59"/>
      <c r="D1942" s="60"/>
      <c r="E1942" s="58"/>
    </row>
    <row r="1943">
      <c r="A1943" s="57"/>
      <c r="B1943" s="58"/>
      <c r="C1943" s="59"/>
      <c r="D1943" s="60"/>
      <c r="E1943" s="58"/>
    </row>
    <row r="1944">
      <c r="A1944" s="57"/>
      <c r="B1944" s="58"/>
      <c r="C1944" s="59"/>
      <c r="D1944" s="60"/>
      <c r="E1944" s="58"/>
    </row>
    <row r="1945">
      <c r="A1945" s="57"/>
      <c r="B1945" s="58"/>
      <c r="C1945" s="59"/>
      <c r="D1945" s="60"/>
      <c r="E1945" s="58"/>
    </row>
    <row r="1946">
      <c r="A1946" s="57"/>
      <c r="B1946" s="58"/>
      <c r="C1946" s="59"/>
      <c r="D1946" s="60"/>
      <c r="E1946" s="58"/>
    </row>
    <row r="1947">
      <c r="A1947" s="57"/>
      <c r="B1947" s="58"/>
      <c r="C1947" s="59"/>
      <c r="D1947" s="60"/>
      <c r="E1947" s="58"/>
    </row>
    <row r="1948">
      <c r="A1948" s="57"/>
      <c r="B1948" s="58"/>
      <c r="C1948" s="59"/>
      <c r="D1948" s="60"/>
      <c r="E1948" s="58"/>
    </row>
    <row r="1949">
      <c r="A1949" s="57"/>
      <c r="B1949" s="58"/>
      <c r="C1949" s="59"/>
      <c r="D1949" s="60"/>
      <c r="E1949" s="58"/>
    </row>
    <row r="1950">
      <c r="A1950" s="57"/>
      <c r="B1950" s="58"/>
      <c r="C1950" s="59"/>
      <c r="D1950" s="60"/>
      <c r="E1950" s="58"/>
    </row>
    <row r="1951">
      <c r="A1951" s="57"/>
      <c r="B1951" s="58"/>
      <c r="C1951" s="59"/>
      <c r="D1951" s="60"/>
      <c r="E1951" s="58"/>
    </row>
    <row r="1952">
      <c r="A1952" s="57"/>
      <c r="B1952" s="58"/>
      <c r="C1952" s="59"/>
      <c r="D1952" s="60"/>
      <c r="E1952" s="58"/>
    </row>
    <row r="1953">
      <c r="A1953" s="57"/>
      <c r="B1953" s="58"/>
      <c r="C1953" s="59"/>
      <c r="D1953" s="60"/>
      <c r="E1953" s="58"/>
    </row>
    <row r="1954">
      <c r="A1954" s="57"/>
      <c r="B1954" s="58"/>
      <c r="C1954" s="59"/>
      <c r="D1954" s="60"/>
      <c r="E1954" s="58"/>
    </row>
    <row r="1955">
      <c r="A1955" s="57"/>
      <c r="B1955" s="58"/>
      <c r="C1955" s="59"/>
      <c r="D1955" s="60"/>
      <c r="E1955" s="58"/>
    </row>
    <row r="1956">
      <c r="A1956" s="57"/>
      <c r="B1956" s="58"/>
      <c r="C1956" s="59"/>
      <c r="D1956" s="60"/>
      <c r="E1956" s="58"/>
    </row>
    <row r="1957">
      <c r="A1957" s="57"/>
      <c r="B1957" s="58"/>
      <c r="C1957" s="59"/>
      <c r="D1957" s="60"/>
      <c r="E1957" s="58"/>
    </row>
    <row r="1958">
      <c r="A1958" s="57"/>
      <c r="B1958" s="58"/>
      <c r="C1958" s="59"/>
      <c r="D1958" s="60"/>
      <c r="E1958" s="58"/>
    </row>
    <row r="1959">
      <c r="A1959" s="57"/>
      <c r="B1959" s="58"/>
      <c r="C1959" s="59"/>
      <c r="D1959" s="60"/>
      <c r="E1959" s="58"/>
    </row>
    <row r="1960">
      <c r="A1960" s="57"/>
      <c r="B1960" s="58"/>
      <c r="C1960" s="59"/>
      <c r="D1960" s="60"/>
      <c r="E1960" s="58"/>
    </row>
    <row r="1961">
      <c r="A1961" s="57"/>
      <c r="B1961" s="58"/>
      <c r="C1961" s="59"/>
      <c r="D1961" s="60"/>
      <c r="E1961" s="58"/>
    </row>
    <row r="1962">
      <c r="A1962" s="57"/>
      <c r="B1962" s="58"/>
      <c r="C1962" s="59"/>
      <c r="D1962" s="60"/>
      <c r="E1962" s="58"/>
    </row>
    <row r="1963">
      <c r="A1963" s="57"/>
      <c r="B1963" s="58"/>
      <c r="C1963" s="59"/>
      <c r="D1963" s="60"/>
      <c r="E1963" s="58"/>
    </row>
    <row r="1964">
      <c r="A1964" s="57"/>
      <c r="B1964" s="58"/>
      <c r="C1964" s="59"/>
      <c r="D1964" s="60"/>
      <c r="E1964" s="58"/>
    </row>
    <row r="1965">
      <c r="A1965" s="57"/>
      <c r="B1965" s="58"/>
      <c r="C1965" s="59"/>
      <c r="D1965" s="60"/>
      <c r="E1965" s="58"/>
    </row>
    <row r="1966">
      <c r="A1966" s="57"/>
      <c r="B1966" s="58"/>
      <c r="C1966" s="59"/>
      <c r="D1966" s="60"/>
      <c r="E1966" s="58"/>
    </row>
    <row r="1967">
      <c r="A1967" s="57"/>
      <c r="B1967" s="58"/>
      <c r="C1967" s="59"/>
      <c r="D1967" s="60"/>
      <c r="E1967" s="58"/>
    </row>
    <row r="1968">
      <c r="A1968" s="57"/>
      <c r="B1968" s="58"/>
      <c r="C1968" s="59"/>
      <c r="D1968" s="60"/>
      <c r="E1968" s="58"/>
    </row>
    <row r="1969">
      <c r="A1969" s="57"/>
      <c r="B1969" s="58"/>
      <c r="C1969" s="59"/>
      <c r="D1969" s="60"/>
      <c r="E1969" s="58"/>
    </row>
    <row r="1970">
      <c r="A1970" s="57"/>
      <c r="B1970" s="58"/>
      <c r="C1970" s="59"/>
      <c r="D1970" s="60"/>
      <c r="E1970" s="58"/>
    </row>
    <row r="1971">
      <c r="A1971" s="57"/>
      <c r="B1971" s="58"/>
      <c r="C1971" s="59"/>
      <c r="D1971" s="60"/>
      <c r="E1971" s="58"/>
    </row>
    <row r="1972">
      <c r="A1972" s="57"/>
      <c r="B1972" s="58"/>
      <c r="C1972" s="59"/>
      <c r="D1972" s="60"/>
      <c r="E1972" s="58"/>
    </row>
    <row r="1973">
      <c r="A1973" s="57"/>
      <c r="B1973" s="58"/>
      <c r="C1973" s="59"/>
      <c r="D1973" s="60"/>
      <c r="E1973" s="58"/>
    </row>
    <row r="1974">
      <c r="A1974" s="57"/>
      <c r="B1974" s="58"/>
      <c r="C1974" s="59"/>
      <c r="D1974" s="60"/>
      <c r="E1974" s="58"/>
    </row>
    <row r="1975">
      <c r="A1975" s="57"/>
      <c r="B1975" s="58"/>
      <c r="C1975" s="59"/>
      <c r="D1975" s="60"/>
      <c r="E1975" s="58"/>
    </row>
    <row r="1976">
      <c r="A1976" s="57"/>
      <c r="B1976" s="58"/>
      <c r="C1976" s="59"/>
      <c r="D1976" s="60"/>
      <c r="E1976" s="58"/>
    </row>
    <row r="1977">
      <c r="A1977" s="57"/>
      <c r="B1977" s="58"/>
      <c r="C1977" s="59"/>
      <c r="D1977" s="60"/>
      <c r="E1977" s="58"/>
    </row>
    <row r="1978">
      <c r="A1978" s="57"/>
      <c r="B1978" s="58"/>
      <c r="C1978" s="59"/>
      <c r="D1978" s="60"/>
      <c r="E1978" s="58"/>
    </row>
    <row r="1979">
      <c r="A1979" s="57"/>
      <c r="B1979" s="58"/>
      <c r="C1979" s="59"/>
      <c r="D1979" s="60"/>
      <c r="E1979" s="58"/>
    </row>
    <row r="1980">
      <c r="A1980" s="57"/>
      <c r="B1980" s="58"/>
      <c r="C1980" s="59"/>
      <c r="D1980" s="60"/>
      <c r="E1980" s="58"/>
    </row>
    <row r="1981">
      <c r="A1981" s="57"/>
      <c r="B1981" s="58"/>
      <c r="C1981" s="59"/>
      <c r="D1981" s="60"/>
      <c r="E1981" s="58"/>
    </row>
    <row r="1982">
      <c r="A1982" s="57"/>
      <c r="B1982" s="58"/>
      <c r="C1982" s="59"/>
      <c r="D1982" s="60"/>
      <c r="E1982" s="58"/>
    </row>
    <row r="1983">
      <c r="A1983" s="57"/>
      <c r="B1983" s="58"/>
      <c r="C1983" s="59"/>
      <c r="D1983" s="60"/>
      <c r="E1983" s="58"/>
    </row>
    <row r="1984">
      <c r="A1984" s="57"/>
      <c r="B1984" s="58"/>
      <c r="C1984" s="59"/>
      <c r="D1984" s="60"/>
      <c r="E1984" s="58"/>
    </row>
    <row r="1985">
      <c r="A1985" s="57"/>
      <c r="B1985" s="58"/>
      <c r="C1985" s="59"/>
      <c r="D1985" s="60"/>
      <c r="E1985" s="58"/>
    </row>
    <row r="1986">
      <c r="A1986" s="57"/>
      <c r="B1986" s="58"/>
      <c r="C1986" s="59"/>
      <c r="D1986" s="60"/>
      <c r="E1986" s="58"/>
    </row>
    <row r="1987">
      <c r="A1987" s="57"/>
      <c r="B1987" s="58"/>
      <c r="C1987" s="59"/>
      <c r="D1987" s="60"/>
      <c r="E1987" s="58"/>
    </row>
    <row r="1988">
      <c r="A1988" s="57"/>
      <c r="B1988" s="58"/>
      <c r="C1988" s="59"/>
      <c r="D1988" s="60"/>
      <c r="E1988" s="58"/>
    </row>
    <row r="1989">
      <c r="A1989" s="57"/>
      <c r="B1989" s="58"/>
      <c r="C1989" s="59"/>
      <c r="D1989" s="60"/>
      <c r="E1989" s="58"/>
    </row>
    <row r="1990">
      <c r="A1990" s="57"/>
      <c r="B1990" s="58"/>
      <c r="C1990" s="59"/>
      <c r="D1990" s="60"/>
      <c r="E1990" s="58"/>
    </row>
    <row r="1991">
      <c r="A1991" s="57"/>
      <c r="B1991" s="58"/>
      <c r="C1991" s="59"/>
      <c r="D1991" s="60"/>
      <c r="E1991" s="58"/>
    </row>
    <row r="1992">
      <c r="A1992" s="57"/>
      <c r="B1992" s="58"/>
      <c r="C1992" s="59"/>
      <c r="D1992" s="60"/>
      <c r="E1992" s="58"/>
    </row>
    <row r="1993">
      <c r="A1993" s="57"/>
      <c r="B1993" s="58"/>
      <c r="C1993" s="59"/>
      <c r="D1993" s="60"/>
      <c r="E1993" s="58"/>
    </row>
    <row r="1994">
      <c r="A1994" s="57"/>
      <c r="B1994" s="58"/>
      <c r="C1994" s="59"/>
      <c r="D1994" s="60"/>
      <c r="E1994" s="58"/>
    </row>
    <row r="1995">
      <c r="A1995" s="57"/>
      <c r="B1995" s="58"/>
      <c r="C1995" s="59"/>
      <c r="D1995" s="60"/>
      <c r="E1995" s="58"/>
    </row>
    <row r="1996">
      <c r="A1996" s="57"/>
      <c r="B1996" s="58"/>
      <c r="C1996" s="59"/>
      <c r="D1996" s="60"/>
      <c r="E1996" s="58"/>
    </row>
    <row r="1997">
      <c r="A1997" s="57"/>
      <c r="B1997" s="58"/>
      <c r="C1997" s="59"/>
      <c r="D1997" s="60"/>
      <c r="E1997" s="58"/>
    </row>
    <row r="1998">
      <c r="A1998" s="57"/>
      <c r="B1998" s="58"/>
      <c r="C1998" s="59"/>
      <c r="D1998" s="60"/>
      <c r="E1998" s="58"/>
    </row>
    <row r="1999">
      <c r="A1999" s="57"/>
      <c r="B1999" s="58"/>
      <c r="C1999" s="59"/>
      <c r="D1999" s="60"/>
      <c r="E1999" s="58"/>
    </row>
    <row r="2000">
      <c r="A2000" s="57"/>
      <c r="B2000" s="58"/>
      <c r="C2000" s="59"/>
      <c r="D2000" s="60"/>
      <c r="E2000" s="58"/>
    </row>
    <row r="2001">
      <c r="A2001" s="57"/>
      <c r="B2001" s="58"/>
      <c r="C2001" s="59"/>
      <c r="D2001" s="60"/>
      <c r="E2001" s="58"/>
    </row>
    <row r="2002">
      <c r="A2002" s="57"/>
      <c r="B2002" s="58"/>
      <c r="C2002" s="59"/>
      <c r="D2002" s="60"/>
      <c r="E2002" s="58"/>
    </row>
    <row r="2003">
      <c r="A2003" s="57"/>
      <c r="B2003" s="58"/>
      <c r="C2003" s="59"/>
      <c r="D2003" s="60"/>
      <c r="E2003" s="58"/>
    </row>
    <row r="2004">
      <c r="A2004" s="57"/>
      <c r="B2004" s="58"/>
      <c r="C2004" s="59"/>
      <c r="D2004" s="60"/>
      <c r="E2004" s="58"/>
    </row>
    <row r="2005">
      <c r="A2005" s="57"/>
      <c r="B2005" s="58"/>
      <c r="C2005" s="59"/>
      <c r="D2005" s="60"/>
      <c r="E2005" s="58"/>
    </row>
    <row r="2006">
      <c r="A2006" s="57"/>
      <c r="B2006" s="58"/>
      <c r="C2006" s="59"/>
      <c r="D2006" s="60"/>
      <c r="E2006" s="58"/>
    </row>
    <row r="2007">
      <c r="A2007" s="57"/>
      <c r="B2007" s="58"/>
      <c r="C2007" s="59"/>
      <c r="D2007" s="60"/>
      <c r="E2007" s="58"/>
    </row>
    <row r="2008">
      <c r="A2008" s="57"/>
      <c r="B2008" s="58"/>
      <c r="C2008" s="59"/>
      <c r="D2008" s="60"/>
      <c r="E2008" s="58"/>
    </row>
    <row r="2009">
      <c r="A2009" s="57"/>
      <c r="B2009" s="58"/>
      <c r="C2009" s="59"/>
      <c r="D2009" s="60"/>
      <c r="E2009" s="58"/>
    </row>
    <row r="2010">
      <c r="A2010" s="57"/>
      <c r="B2010" s="58"/>
      <c r="C2010" s="59"/>
      <c r="D2010" s="60"/>
      <c r="E2010" s="58"/>
    </row>
    <row r="2011">
      <c r="A2011" s="57"/>
      <c r="B2011" s="58"/>
      <c r="C2011" s="59"/>
      <c r="D2011" s="60"/>
      <c r="E2011" s="58"/>
    </row>
    <row r="2012">
      <c r="A2012" s="57"/>
      <c r="B2012" s="58"/>
      <c r="C2012" s="59"/>
      <c r="D2012" s="60"/>
      <c r="E2012" s="58"/>
    </row>
    <row r="2013">
      <c r="A2013" s="57"/>
      <c r="B2013" s="58"/>
      <c r="C2013" s="59"/>
      <c r="D2013" s="60"/>
      <c r="E2013" s="58"/>
    </row>
    <row r="2014">
      <c r="A2014" s="57"/>
      <c r="B2014" s="58"/>
      <c r="C2014" s="59"/>
      <c r="D2014" s="60"/>
      <c r="E2014" s="58"/>
    </row>
    <row r="2015">
      <c r="A2015" s="57"/>
      <c r="B2015" s="58"/>
      <c r="C2015" s="59"/>
      <c r="D2015" s="60"/>
      <c r="E2015" s="58"/>
    </row>
    <row r="2016">
      <c r="A2016" s="57"/>
      <c r="B2016" s="58"/>
      <c r="C2016" s="59"/>
      <c r="D2016" s="60"/>
      <c r="E2016" s="58"/>
    </row>
    <row r="2017">
      <c r="A2017" s="57"/>
      <c r="B2017" s="58"/>
      <c r="C2017" s="59"/>
      <c r="D2017" s="60"/>
      <c r="E2017" s="58"/>
    </row>
    <row r="2018">
      <c r="A2018" s="57"/>
      <c r="B2018" s="58"/>
      <c r="C2018" s="59"/>
      <c r="D2018" s="60"/>
      <c r="E2018" s="58"/>
    </row>
    <row r="2019">
      <c r="A2019" s="57"/>
      <c r="B2019" s="58"/>
      <c r="C2019" s="59"/>
      <c r="D2019" s="60"/>
      <c r="E2019" s="58"/>
    </row>
    <row r="2020">
      <c r="A2020" s="57"/>
      <c r="B2020" s="58"/>
      <c r="C2020" s="59"/>
      <c r="D2020" s="60"/>
      <c r="E2020" s="58"/>
    </row>
    <row r="2021">
      <c r="A2021" s="57"/>
      <c r="B2021" s="58"/>
      <c r="C2021" s="59"/>
      <c r="D2021" s="60"/>
      <c r="E2021" s="58"/>
    </row>
    <row r="2022">
      <c r="A2022" s="57"/>
      <c r="B2022" s="58"/>
      <c r="C2022" s="59"/>
      <c r="D2022" s="60"/>
      <c r="E2022" s="58"/>
    </row>
    <row r="2023">
      <c r="A2023" s="57"/>
      <c r="B2023" s="58"/>
      <c r="C2023" s="59"/>
      <c r="D2023" s="60"/>
      <c r="E2023" s="58"/>
    </row>
    <row r="2024">
      <c r="A2024" s="57"/>
      <c r="B2024" s="58"/>
      <c r="C2024" s="59"/>
      <c r="D2024" s="60"/>
      <c r="E2024" s="58"/>
    </row>
    <row r="2025">
      <c r="A2025" s="57"/>
      <c r="B2025" s="58"/>
      <c r="C2025" s="59"/>
      <c r="D2025" s="60"/>
      <c r="E2025" s="58"/>
    </row>
    <row r="2026">
      <c r="A2026" s="57"/>
      <c r="B2026" s="58"/>
      <c r="C2026" s="59"/>
      <c r="D2026" s="60"/>
      <c r="E2026" s="58"/>
    </row>
    <row r="2027">
      <c r="A2027" s="57"/>
      <c r="B2027" s="58"/>
      <c r="C2027" s="59"/>
      <c r="D2027" s="60"/>
      <c r="E2027" s="58"/>
    </row>
    <row r="2028">
      <c r="A2028" s="57"/>
      <c r="B2028" s="58"/>
      <c r="C2028" s="59"/>
      <c r="D2028" s="60"/>
      <c r="E2028" s="58"/>
    </row>
    <row r="2029">
      <c r="A2029" s="57"/>
      <c r="B2029" s="58"/>
      <c r="C2029" s="59"/>
      <c r="D2029" s="60"/>
      <c r="E2029" s="58"/>
    </row>
    <row r="2030">
      <c r="A2030" s="57"/>
      <c r="B2030" s="58"/>
      <c r="C2030" s="59"/>
      <c r="D2030" s="60"/>
      <c r="E2030" s="58"/>
    </row>
    <row r="2031">
      <c r="A2031" s="57"/>
      <c r="B2031" s="58"/>
      <c r="C2031" s="59"/>
      <c r="D2031" s="60"/>
      <c r="E2031" s="58"/>
    </row>
    <row r="2032">
      <c r="A2032" s="57"/>
      <c r="B2032" s="58"/>
      <c r="C2032" s="59"/>
      <c r="D2032" s="60"/>
      <c r="E2032" s="58"/>
    </row>
    <row r="2033">
      <c r="A2033" s="57"/>
      <c r="B2033" s="58"/>
      <c r="C2033" s="59"/>
      <c r="D2033" s="60"/>
      <c r="E2033" s="58"/>
    </row>
    <row r="2034">
      <c r="A2034" s="57"/>
      <c r="B2034" s="58"/>
      <c r="C2034" s="59"/>
      <c r="D2034" s="60"/>
      <c r="E2034" s="58"/>
    </row>
    <row r="2035">
      <c r="A2035" s="57"/>
      <c r="B2035" s="58"/>
      <c r="C2035" s="59"/>
      <c r="D2035" s="60"/>
      <c r="E2035" s="58"/>
    </row>
    <row r="2036">
      <c r="A2036" s="57"/>
      <c r="B2036" s="58"/>
      <c r="C2036" s="59"/>
      <c r="D2036" s="60"/>
      <c r="E2036" s="58"/>
    </row>
    <row r="2037">
      <c r="A2037" s="57"/>
      <c r="B2037" s="58"/>
      <c r="C2037" s="59"/>
      <c r="D2037" s="60"/>
      <c r="E2037" s="58"/>
    </row>
    <row r="2038">
      <c r="A2038" s="57"/>
      <c r="B2038" s="58"/>
      <c r="C2038" s="59"/>
      <c r="D2038" s="60"/>
      <c r="E2038" s="58"/>
    </row>
    <row r="2039">
      <c r="A2039" s="57"/>
      <c r="B2039" s="58"/>
      <c r="C2039" s="59"/>
      <c r="D2039" s="60"/>
      <c r="E2039" s="58"/>
    </row>
    <row r="2040">
      <c r="A2040" s="57"/>
      <c r="B2040" s="58"/>
      <c r="C2040" s="59"/>
      <c r="D2040" s="60"/>
      <c r="E2040" s="58"/>
    </row>
    <row r="2041">
      <c r="A2041" s="57"/>
      <c r="B2041" s="58"/>
      <c r="C2041" s="59"/>
      <c r="D2041" s="60"/>
      <c r="E2041" s="58"/>
    </row>
    <row r="2042">
      <c r="A2042" s="57"/>
      <c r="B2042" s="58"/>
      <c r="C2042" s="59"/>
      <c r="D2042" s="60"/>
      <c r="E2042" s="58"/>
    </row>
    <row r="2043">
      <c r="A2043" s="57"/>
      <c r="B2043" s="58"/>
      <c r="C2043" s="59"/>
      <c r="D2043" s="60"/>
      <c r="E2043" s="58"/>
    </row>
    <row r="2044">
      <c r="A2044" s="57"/>
      <c r="B2044" s="58"/>
      <c r="C2044" s="59"/>
      <c r="D2044" s="60"/>
      <c r="E2044" s="58"/>
    </row>
    <row r="2045">
      <c r="A2045" s="57"/>
      <c r="B2045" s="58"/>
      <c r="C2045" s="59"/>
      <c r="D2045" s="60"/>
      <c r="E2045" s="58"/>
    </row>
    <row r="2046">
      <c r="A2046" s="57"/>
      <c r="B2046" s="58"/>
      <c r="C2046" s="59"/>
      <c r="D2046" s="60"/>
      <c r="E2046" s="58"/>
    </row>
    <row r="2047">
      <c r="A2047" s="57"/>
      <c r="B2047" s="58"/>
      <c r="C2047" s="59"/>
      <c r="D2047" s="60"/>
      <c r="E2047" s="58"/>
    </row>
    <row r="2048">
      <c r="A2048" s="57"/>
      <c r="B2048" s="58"/>
      <c r="C2048" s="59"/>
      <c r="D2048" s="60"/>
      <c r="E2048" s="58"/>
    </row>
    <row r="2049">
      <c r="A2049" s="57"/>
      <c r="B2049" s="58"/>
      <c r="C2049" s="59"/>
      <c r="D2049" s="60"/>
      <c r="E2049" s="58"/>
    </row>
    <row r="2050">
      <c r="A2050" s="57"/>
      <c r="B2050" s="58"/>
      <c r="C2050" s="59"/>
      <c r="D2050" s="60"/>
      <c r="E2050" s="58"/>
    </row>
    <row r="2051">
      <c r="A2051" s="57"/>
      <c r="B2051" s="58"/>
      <c r="C2051" s="59"/>
      <c r="D2051" s="60"/>
      <c r="E2051" s="58"/>
    </row>
    <row r="2052">
      <c r="A2052" s="57"/>
      <c r="B2052" s="58"/>
      <c r="C2052" s="59"/>
      <c r="D2052" s="60"/>
      <c r="E2052" s="58"/>
    </row>
    <row r="2053">
      <c r="A2053" s="57"/>
      <c r="B2053" s="58"/>
      <c r="C2053" s="59"/>
      <c r="D2053" s="60"/>
      <c r="E2053" s="58"/>
    </row>
    <row r="2054">
      <c r="A2054" s="57"/>
      <c r="B2054" s="58"/>
      <c r="C2054" s="59"/>
      <c r="D2054" s="60"/>
      <c r="E2054" s="58"/>
    </row>
    <row r="2055">
      <c r="A2055" s="57"/>
      <c r="B2055" s="58"/>
      <c r="C2055" s="59"/>
      <c r="D2055" s="60"/>
      <c r="E2055" s="58"/>
    </row>
    <row r="2056">
      <c r="A2056" s="57"/>
      <c r="B2056" s="58"/>
      <c r="C2056" s="59"/>
      <c r="D2056" s="60"/>
      <c r="E2056" s="58"/>
    </row>
    <row r="2057">
      <c r="A2057" s="57"/>
      <c r="B2057" s="58"/>
      <c r="C2057" s="59"/>
      <c r="D2057" s="60"/>
      <c r="E2057" s="58"/>
    </row>
    <row r="2058">
      <c r="A2058" s="57"/>
      <c r="B2058" s="58"/>
      <c r="C2058" s="59"/>
      <c r="D2058" s="60"/>
      <c r="E2058" s="58"/>
    </row>
    <row r="2059">
      <c r="A2059" s="57"/>
      <c r="B2059" s="58"/>
      <c r="C2059" s="59"/>
      <c r="D2059" s="60"/>
      <c r="E2059" s="58"/>
    </row>
    <row r="2060">
      <c r="A2060" s="57"/>
      <c r="B2060" s="58"/>
      <c r="C2060" s="59"/>
      <c r="D2060" s="60"/>
      <c r="E2060" s="58"/>
    </row>
    <row r="2061">
      <c r="A2061" s="57"/>
      <c r="B2061" s="58"/>
      <c r="C2061" s="59"/>
      <c r="D2061" s="60"/>
      <c r="E2061" s="58"/>
    </row>
    <row r="2062">
      <c r="A2062" s="57"/>
      <c r="B2062" s="58"/>
      <c r="C2062" s="59"/>
      <c r="D2062" s="60"/>
      <c r="E2062" s="58"/>
    </row>
    <row r="2063">
      <c r="A2063" s="57"/>
      <c r="B2063" s="58"/>
      <c r="C2063" s="59"/>
      <c r="D2063" s="60"/>
      <c r="E2063" s="58"/>
    </row>
    <row r="2064">
      <c r="A2064" s="57"/>
      <c r="B2064" s="58"/>
      <c r="C2064" s="59"/>
      <c r="D2064" s="60"/>
      <c r="E2064" s="58"/>
    </row>
    <row r="2065">
      <c r="A2065" s="57"/>
      <c r="B2065" s="58"/>
      <c r="C2065" s="59"/>
      <c r="D2065" s="60"/>
      <c r="E2065" s="58"/>
    </row>
    <row r="2066">
      <c r="A2066" s="57"/>
      <c r="B2066" s="58"/>
      <c r="C2066" s="59"/>
      <c r="D2066" s="60"/>
      <c r="E2066" s="58"/>
    </row>
    <row r="2067">
      <c r="A2067" s="57"/>
      <c r="B2067" s="58"/>
      <c r="C2067" s="59"/>
      <c r="D2067" s="60"/>
      <c r="E2067" s="58"/>
    </row>
    <row r="2068">
      <c r="A2068" s="57"/>
      <c r="B2068" s="58"/>
      <c r="C2068" s="59"/>
      <c r="D2068" s="60"/>
      <c r="E2068" s="58"/>
    </row>
    <row r="2069">
      <c r="A2069" s="57"/>
      <c r="B2069" s="58"/>
      <c r="C2069" s="59"/>
      <c r="D2069" s="60"/>
      <c r="E2069" s="58"/>
    </row>
    <row r="2070">
      <c r="A2070" s="57"/>
      <c r="B2070" s="58"/>
      <c r="C2070" s="59"/>
      <c r="D2070" s="60"/>
      <c r="E2070" s="58"/>
    </row>
    <row r="2071">
      <c r="A2071" s="57"/>
      <c r="B2071" s="58"/>
      <c r="C2071" s="59"/>
      <c r="D2071" s="60"/>
      <c r="E2071" s="58"/>
    </row>
    <row r="2072">
      <c r="A2072" s="57"/>
      <c r="B2072" s="58"/>
      <c r="C2072" s="59"/>
      <c r="D2072" s="60"/>
      <c r="E2072" s="58"/>
    </row>
    <row r="2073">
      <c r="A2073" s="57"/>
      <c r="B2073" s="58"/>
      <c r="C2073" s="59"/>
      <c r="D2073" s="60"/>
      <c r="E2073" s="58"/>
    </row>
    <row r="2074">
      <c r="A2074" s="57"/>
      <c r="B2074" s="58"/>
      <c r="C2074" s="59"/>
      <c r="D2074" s="60"/>
      <c r="E2074" s="58"/>
    </row>
    <row r="2075">
      <c r="A2075" s="57"/>
      <c r="B2075" s="58"/>
      <c r="C2075" s="59"/>
      <c r="D2075" s="60"/>
      <c r="E2075" s="58"/>
    </row>
    <row r="2076">
      <c r="A2076" s="57"/>
      <c r="B2076" s="58"/>
      <c r="C2076" s="59"/>
      <c r="D2076" s="60"/>
      <c r="E2076" s="58"/>
    </row>
    <row r="2077">
      <c r="A2077" s="57"/>
      <c r="B2077" s="58"/>
      <c r="C2077" s="59"/>
      <c r="D2077" s="60"/>
      <c r="E2077" s="58"/>
    </row>
    <row r="2078">
      <c r="A2078" s="57"/>
      <c r="B2078" s="58"/>
      <c r="C2078" s="59"/>
      <c r="D2078" s="60"/>
      <c r="E2078" s="58"/>
    </row>
    <row r="2079">
      <c r="A2079" s="57"/>
      <c r="B2079" s="58"/>
      <c r="C2079" s="59"/>
      <c r="D2079" s="60"/>
      <c r="E2079" s="58"/>
    </row>
    <row r="2080">
      <c r="A2080" s="57"/>
      <c r="B2080" s="58"/>
      <c r="C2080" s="59"/>
      <c r="D2080" s="60"/>
      <c r="E2080" s="58"/>
    </row>
    <row r="2081">
      <c r="A2081" s="57"/>
      <c r="B2081" s="58"/>
      <c r="C2081" s="59"/>
      <c r="D2081" s="60"/>
      <c r="E2081" s="58"/>
    </row>
    <row r="2082">
      <c r="A2082" s="57"/>
      <c r="B2082" s="58"/>
      <c r="C2082" s="59"/>
      <c r="D2082" s="60"/>
      <c r="E2082" s="58"/>
    </row>
    <row r="2083">
      <c r="A2083" s="57"/>
      <c r="B2083" s="58"/>
      <c r="C2083" s="59"/>
      <c r="D2083" s="60"/>
      <c r="E2083" s="58"/>
    </row>
    <row r="2084">
      <c r="A2084" s="57"/>
      <c r="B2084" s="58"/>
      <c r="C2084" s="59"/>
      <c r="D2084" s="60"/>
      <c r="E2084" s="58"/>
    </row>
    <row r="2085">
      <c r="A2085" s="57"/>
      <c r="B2085" s="58"/>
      <c r="C2085" s="59"/>
      <c r="D2085" s="60"/>
      <c r="E2085" s="58"/>
    </row>
    <row r="2086">
      <c r="A2086" s="57"/>
      <c r="B2086" s="58"/>
      <c r="C2086" s="59"/>
      <c r="D2086" s="60"/>
      <c r="E2086" s="58"/>
    </row>
    <row r="2087">
      <c r="A2087" s="57"/>
      <c r="B2087" s="58"/>
      <c r="C2087" s="59"/>
      <c r="D2087" s="60"/>
      <c r="E2087" s="58"/>
    </row>
    <row r="2088">
      <c r="A2088" s="57"/>
      <c r="B2088" s="58"/>
      <c r="C2088" s="59"/>
      <c r="D2088" s="60"/>
      <c r="E2088" s="58"/>
    </row>
    <row r="2089">
      <c r="A2089" s="57"/>
      <c r="B2089" s="58"/>
      <c r="C2089" s="59"/>
      <c r="D2089" s="60"/>
      <c r="E2089" s="58"/>
    </row>
    <row r="2090">
      <c r="A2090" s="57"/>
      <c r="B2090" s="58"/>
      <c r="C2090" s="59"/>
      <c r="D2090" s="60"/>
      <c r="E2090" s="58"/>
    </row>
    <row r="2091">
      <c r="A2091" s="57"/>
      <c r="B2091" s="58"/>
      <c r="C2091" s="59"/>
      <c r="D2091" s="60"/>
      <c r="E2091" s="58"/>
    </row>
    <row r="2092">
      <c r="A2092" s="57"/>
      <c r="B2092" s="58"/>
      <c r="C2092" s="59"/>
      <c r="D2092" s="60"/>
      <c r="E2092" s="58"/>
    </row>
    <row r="2093">
      <c r="A2093" s="57"/>
      <c r="B2093" s="58"/>
      <c r="C2093" s="59"/>
      <c r="D2093" s="60"/>
      <c r="E2093" s="58"/>
    </row>
    <row r="2094">
      <c r="A2094" s="57"/>
      <c r="B2094" s="58"/>
      <c r="C2094" s="59"/>
      <c r="D2094" s="60"/>
      <c r="E2094" s="58"/>
    </row>
    <row r="2095">
      <c r="A2095" s="57"/>
      <c r="B2095" s="58"/>
      <c r="C2095" s="59"/>
      <c r="D2095" s="60"/>
      <c r="E2095" s="58"/>
    </row>
    <row r="2096">
      <c r="A2096" s="57"/>
      <c r="B2096" s="58"/>
      <c r="C2096" s="59"/>
      <c r="D2096" s="60"/>
      <c r="E2096" s="58"/>
    </row>
    <row r="2097">
      <c r="A2097" s="57"/>
      <c r="B2097" s="58"/>
      <c r="C2097" s="59"/>
      <c r="D2097" s="60"/>
      <c r="E2097" s="58"/>
    </row>
    <row r="2098">
      <c r="A2098" s="57"/>
      <c r="B2098" s="58"/>
      <c r="C2098" s="59"/>
      <c r="D2098" s="60"/>
      <c r="E2098" s="58"/>
    </row>
    <row r="2099">
      <c r="A2099" s="57"/>
      <c r="B2099" s="58"/>
      <c r="C2099" s="59"/>
      <c r="D2099" s="60"/>
      <c r="E2099" s="58"/>
    </row>
    <row r="2100">
      <c r="A2100" s="57"/>
      <c r="B2100" s="58"/>
      <c r="C2100" s="59"/>
      <c r="D2100" s="60"/>
      <c r="E2100" s="58"/>
    </row>
    <row r="2101">
      <c r="A2101" s="57"/>
      <c r="B2101" s="58"/>
      <c r="C2101" s="59"/>
      <c r="D2101" s="60"/>
      <c r="E2101" s="58"/>
    </row>
    <row r="2102">
      <c r="A2102" s="57"/>
      <c r="B2102" s="58"/>
      <c r="C2102" s="59"/>
      <c r="D2102" s="60"/>
      <c r="E2102" s="58"/>
    </row>
    <row r="2103">
      <c r="A2103" s="57"/>
      <c r="B2103" s="58"/>
      <c r="C2103" s="59"/>
      <c r="D2103" s="60"/>
      <c r="E2103" s="58"/>
    </row>
    <row r="2104">
      <c r="A2104" s="57"/>
      <c r="B2104" s="58"/>
      <c r="C2104" s="59"/>
      <c r="D2104" s="60"/>
      <c r="E2104" s="58"/>
    </row>
    <row r="2105">
      <c r="A2105" s="57"/>
      <c r="B2105" s="58"/>
      <c r="C2105" s="59"/>
      <c r="D2105" s="60"/>
      <c r="E2105" s="58"/>
    </row>
    <row r="2106">
      <c r="A2106" s="57"/>
      <c r="B2106" s="58"/>
      <c r="C2106" s="59"/>
      <c r="D2106" s="60"/>
      <c r="E2106" s="58"/>
    </row>
    <row r="2107">
      <c r="A2107" s="57"/>
      <c r="B2107" s="58"/>
      <c r="C2107" s="59"/>
      <c r="D2107" s="60"/>
      <c r="E2107" s="58"/>
    </row>
    <row r="2108">
      <c r="A2108" s="57"/>
      <c r="B2108" s="58"/>
      <c r="C2108" s="59"/>
      <c r="D2108" s="60"/>
      <c r="E2108" s="58"/>
    </row>
    <row r="2109">
      <c r="A2109" s="57"/>
      <c r="B2109" s="58"/>
      <c r="C2109" s="59"/>
      <c r="D2109" s="60"/>
      <c r="E2109" s="58"/>
    </row>
    <row r="2110">
      <c r="A2110" s="57"/>
      <c r="B2110" s="58"/>
      <c r="C2110" s="59"/>
      <c r="D2110" s="60"/>
      <c r="E2110" s="58"/>
    </row>
    <row r="2111">
      <c r="A2111" s="57"/>
      <c r="B2111" s="58"/>
      <c r="C2111" s="59"/>
      <c r="D2111" s="60"/>
      <c r="E2111" s="58"/>
    </row>
    <row r="2112">
      <c r="A2112" s="57"/>
      <c r="B2112" s="58"/>
      <c r="C2112" s="59"/>
      <c r="D2112" s="60"/>
      <c r="E2112" s="58"/>
    </row>
    <row r="2113">
      <c r="A2113" s="57"/>
      <c r="B2113" s="58"/>
      <c r="C2113" s="59"/>
      <c r="D2113" s="60"/>
      <c r="E2113" s="58"/>
    </row>
    <row r="2114">
      <c r="A2114" s="57"/>
      <c r="B2114" s="58"/>
      <c r="C2114" s="59"/>
      <c r="D2114" s="60"/>
      <c r="E2114" s="58"/>
    </row>
    <row r="2115">
      <c r="A2115" s="57"/>
      <c r="B2115" s="58"/>
      <c r="C2115" s="59"/>
      <c r="D2115" s="60"/>
      <c r="E2115" s="58"/>
    </row>
    <row r="2116">
      <c r="A2116" s="57"/>
      <c r="B2116" s="58"/>
      <c r="C2116" s="59"/>
      <c r="D2116" s="60"/>
      <c r="E2116" s="58"/>
    </row>
    <row r="2117">
      <c r="A2117" s="57"/>
      <c r="B2117" s="58"/>
      <c r="C2117" s="59"/>
      <c r="D2117" s="60"/>
      <c r="E2117" s="58"/>
    </row>
    <row r="2118">
      <c r="A2118" s="57"/>
      <c r="B2118" s="58"/>
      <c r="C2118" s="59"/>
      <c r="D2118" s="60"/>
      <c r="E2118" s="58"/>
    </row>
    <row r="2119">
      <c r="A2119" s="57"/>
      <c r="B2119" s="58"/>
      <c r="C2119" s="59"/>
      <c r="D2119" s="60"/>
      <c r="E2119" s="58"/>
    </row>
    <row r="2120">
      <c r="A2120" s="57"/>
      <c r="B2120" s="58"/>
      <c r="C2120" s="59"/>
      <c r="D2120" s="60"/>
      <c r="E2120" s="58"/>
    </row>
    <row r="2121">
      <c r="A2121" s="57"/>
      <c r="B2121" s="58"/>
      <c r="C2121" s="59"/>
      <c r="D2121" s="60"/>
      <c r="E2121" s="58"/>
    </row>
    <row r="2122">
      <c r="A2122" s="57"/>
      <c r="B2122" s="58"/>
      <c r="C2122" s="59"/>
      <c r="D2122" s="60"/>
      <c r="E2122" s="58"/>
    </row>
    <row r="2123">
      <c r="A2123" s="57"/>
      <c r="B2123" s="58"/>
      <c r="C2123" s="59"/>
      <c r="D2123" s="60"/>
      <c r="E2123" s="58"/>
    </row>
    <row r="2124">
      <c r="A2124" s="57"/>
      <c r="B2124" s="58"/>
      <c r="C2124" s="59"/>
      <c r="D2124" s="60"/>
      <c r="E2124" s="58"/>
    </row>
    <row r="2125">
      <c r="A2125" s="57"/>
      <c r="B2125" s="58"/>
      <c r="C2125" s="59"/>
      <c r="D2125" s="60"/>
      <c r="E2125" s="58"/>
    </row>
    <row r="2126">
      <c r="A2126" s="57"/>
      <c r="B2126" s="58"/>
      <c r="C2126" s="59"/>
      <c r="D2126" s="60"/>
      <c r="E2126" s="58"/>
    </row>
    <row r="2127">
      <c r="A2127" s="57"/>
      <c r="B2127" s="58"/>
      <c r="C2127" s="59"/>
      <c r="D2127" s="60"/>
      <c r="E2127" s="58"/>
    </row>
    <row r="2128">
      <c r="A2128" s="57"/>
      <c r="B2128" s="58"/>
      <c r="C2128" s="59"/>
      <c r="D2128" s="60"/>
      <c r="E2128" s="58"/>
    </row>
    <row r="2129">
      <c r="A2129" s="57"/>
      <c r="B2129" s="58"/>
      <c r="C2129" s="59"/>
      <c r="D2129" s="60"/>
      <c r="E2129" s="58"/>
    </row>
    <row r="2130">
      <c r="A2130" s="57"/>
      <c r="B2130" s="58"/>
      <c r="C2130" s="59"/>
      <c r="D2130" s="60"/>
      <c r="E2130" s="58"/>
    </row>
    <row r="2131">
      <c r="A2131" s="57"/>
      <c r="B2131" s="58"/>
      <c r="C2131" s="59"/>
      <c r="D2131" s="60"/>
      <c r="E2131" s="58"/>
    </row>
    <row r="2132">
      <c r="A2132" s="57"/>
      <c r="B2132" s="58"/>
      <c r="C2132" s="59"/>
      <c r="D2132" s="60"/>
      <c r="E2132" s="58"/>
    </row>
    <row r="2133">
      <c r="A2133" s="57"/>
      <c r="B2133" s="58"/>
      <c r="C2133" s="59"/>
      <c r="D2133" s="60"/>
      <c r="E2133" s="58"/>
    </row>
    <row r="2134">
      <c r="A2134" s="57"/>
      <c r="B2134" s="58"/>
      <c r="C2134" s="59"/>
      <c r="D2134" s="60"/>
      <c r="E2134" s="58"/>
    </row>
    <row r="2135">
      <c r="A2135" s="57"/>
      <c r="B2135" s="58"/>
      <c r="C2135" s="59"/>
      <c r="D2135" s="60"/>
      <c r="E2135" s="58"/>
    </row>
    <row r="2136">
      <c r="A2136" s="57"/>
      <c r="B2136" s="58"/>
      <c r="C2136" s="59"/>
      <c r="D2136" s="60"/>
      <c r="E2136" s="58"/>
    </row>
    <row r="2137">
      <c r="A2137" s="57"/>
      <c r="B2137" s="58"/>
      <c r="C2137" s="59"/>
      <c r="D2137" s="60"/>
      <c r="E2137" s="58"/>
    </row>
    <row r="2138">
      <c r="A2138" s="57"/>
      <c r="B2138" s="58"/>
      <c r="C2138" s="59"/>
      <c r="D2138" s="60"/>
      <c r="E2138" s="58"/>
    </row>
    <row r="2139">
      <c r="A2139" s="57"/>
      <c r="B2139" s="58"/>
      <c r="C2139" s="59"/>
      <c r="D2139" s="60"/>
      <c r="E2139" s="58"/>
    </row>
    <row r="2140">
      <c r="A2140" s="57"/>
      <c r="B2140" s="58"/>
      <c r="C2140" s="59"/>
      <c r="D2140" s="60"/>
      <c r="E2140" s="58"/>
    </row>
    <row r="2141">
      <c r="A2141" s="57"/>
      <c r="B2141" s="58"/>
      <c r="C2141" s="59"/>
      <c r="D2141" s="60"/>
      <c r="E2141" s="58"/>
    </row>
    <row r="2142">
      <c r="A2142" s="57"/>
      <c r="B2142" s="58"/>
      <c r="C2142" s="59"/>
      <c r="D2142" s="60"/>
      <c r="E2142" s="58"/>
    </row>
    <row r="2143">
      <c r="A2143" s="57"/>
      <c r="B2143" s="58"/>
      <c r="C2143" s="59"/>
      <c r="D2143" s="60"/>
      <c r="E2143" s="58"/>
    </row>
    <row r="2144">
      <c r="A2144" s="57"/>
      <c r="B2144" s="58"/>
      <c r="C2144" s="59"/>
      <c r="D2144" s="60"/>
      <c r="E2144" s="58"/>
    </row>
    <row r="2145">
      <c r="A2145" s="57"/>
      <c r="B2145" s="58"/>
      <c r="C2145" s="59"/>
      <c r="D2145" s="60"/>
      <c r="E2145" s="58"/>
    </row>
    <row r="2146">
      <c r="A2146" s="57"/>
      <c r="B2146" s="58"/>
      <c r="C2146" s="59"/>
      <c r="D2146" s="60"/>
      <c r="E2146" s="58"/>
    </row>
    <row r="2147">
      <c r="A2147" s="57"/>
      <c r="B2147" s="58"/>
      <c r="C2147" s="59"/>
      <c r="D2147" s="60"/>
      <c r="E2147" s="58"/>
    </row>
    <row r="2148">
      <c r="A2148" s="57"/>
      <c r="B2148" s="58"/>
      <c r="C2148" s="59"/>
      <c r="D2148" s="60"/>
      <c r="E2148" s="58"/>
    </row>
    <row r="2149">
      <c r="A2149" s="57"/>
      <c r="B2149" s="58"/>
      <c r="C2149" s="59"/>
      <c r="D2149" s="60"/>
      <c r="E2149" s="58"/>
    </row>
    <row r="2150">
      <c r="A2150" s="57"/>
      <c r="B2150" s="58"/>
      <c r="C2150" s="59"/>
      <c r="D2150" s="60"/>
      <c r="E2150" s="58"/>
    </row>
    <row r="2151">
      <c r="A2151" s="57"/>
      <c r="B2151" s="58"/>
      <c r="C2151" s="59"/>
      <c r="D2151" s="60"/>
      <c r="E2151" s="58"/>
    </row>
    <row r="2152">
      <c r="A2152" s="57"/>
      <c r="B2152" s="58"/>
      <c r="C2152" s="59"/>
      <c r="D2152" s="60"/>
      <c r="E2152" s="58"/>
    </row>
    <row r="2153">
      <c r="A2153" s="57"/>
      <c r="B2153" s="58"/>
      <c r="C2153" s="59"/>
      <c r="D2153" s="60"/>
      <c r="E2153" s="58"/>
    </row>
    <row r="2154">
      <c r="A2154" s="57"/>
      <c r="B2154" s="58"/>
      <c r="C2154" s="59"/>
      <c r="D2154" s="60"/>
      <c r="E2154" s="58"/>
    </row>
    <row r="2155">
      <c r="A2155" s="57"/>
      <c r="B2155" s="58"/>
      <c r="C2155" s="59"/>
      <c r="D2155" s="60"/>
      <c r="E2155" s="58"/>
    </row>
    <row r="2156">
      <c r="A2156" s="57"/>
      <c r="B2156" s="58"/>
      <c r="C2156" s="59"/>
      <c r="D2156" s="60"/>
      <c r="E2156" s="58"/>
    </row>
    <row r="2157">
      <c r="A2157" s="57"/>
      <c r="B2157" s="58"/>
      <c r="C2157" s="59"/>
      <c r="D2157" s="60"/>
      <c r="E2157" s="58"/>
    </row>
    <row r="2158">
      <c r="A2158" s="57"/>
      <c r="B2158" s="58"/>
      <c r="C2158" s="59"/>
      <c r="D2158" s="60"/>
      <c r="E2158" s="58"/>
    </row>
    <row r="2159">
      <c r="A2159" s="57"/>
      <c r="B2159" s="58"/>
      <c r="C2159" s="59"/>
      <c r="D2159" s="60"/>
      <c r="E2159" s="58"/>
    </row>
    <row r="2160">
      <c r="A2160" s="57"/>
      <c r="B2160" s="58"/>
      <c r="C2160" s="59"/>
      <c r="D2160" s="60"/>
      <c r="E2160" s="58"/>
    </row>
    <row r="2161">
      <c r="A2161" s="57"/>
      <c r="B2161" s="58"/>
      <c r="C2161" s="59"/>
      <c r="D2161" s="60"/>
      <c r="E2161" s="58"/>
    </row>
    <row r="2162">
      <c r="A2162" s="57"/>
      <c r="B2162" s="58"/>
      <c r="C2162" s="59"/>
      <c r="D2162" s="60"/>
      <c r="E2162" s="58"/>
    </row>
    <row r="2163">
      <c r="A2163" s="57"/>
      <c r="B2163" s="58"/>
      <c r="C2163" s="59"/>
      <c r="D2163" s="60"/>
      <c r="E2163" s="58"/>
    </row>
    <row r="2164">
      <c r="A2164" s="57"/>
      <c r="B2164" s="58"/>
      <c r="C2164" s="59"/>
      <c r="D2164" s="60"/>
      <c r="E2164" s="58"/>
    </row>
    <row r="2165">
      <c r="A2165" s="57"/>
      <c r="B2165" s="58"/>
      <c r="C2165" s="59"/>
      <c r="D2165" s="60"/>
      <c r="E2165" s="58"/>
    </row>
    <row r="2166">
      <c r="A2166" s="57"/>
      <c r="B2166" s="58"/>
      <c r="C2166" s="59"/>
      <c r="D2166" s="60"/>
      <c r="E2166" s="58"/>
    </row>
    <row r="2167">
      <c r="A2167" s="57"/>
      <c r="B2167" s="58"/>
      <c r="C2167" s="59"/>
      <c r="D2167" s="60"/>
      <c r="E2167" s="58"/>
    </row>
    <row r="2168">
      <c r="A2168" s="57"/>
      <c r="B2168" s="58"/>
      <c r="C2168" s="59"/>
      <c r="D2168" s="60"/>
      <c r="E2168" s="58"/>
    </row>
    <row r="2169">
      <c r="A2169" s="57"/>
      <c r="B2169" s="58"/>
      <c r="C2169" s="59"/>
      <c r="D2169" s="60"/>
      <c r="E2169" s="58"/>
    </row>
    <row r="2170">
      <c r="A2170" s="57"/>
      <c r="B2170" s="58"/>
      <c r="C2170" s="59"/>
      <c r="D2170" s="60"/>
      <c r="E2170" s="58"/>
    </row>
    <row r="2171">
      <c r="A2171" s="57"/>
      <c r="B2171" s="58"/>
      <c r="C2171" s="59"/>
      <c r="D2171" s="60"/>
      <c r="E2171" s="58"/>
    </row>
    <row r="2172">
      <c r="A2172" s="57"/>
      <c r="B2172" s="58"/>
      <c r="C2172" s="59"/>
      <c r="D2172" s="60"/>
      <c r="E2172" s="58"/>
    </row>
    <row r="2173">
      <c r="A2173" s="57"/>
      <c r="B2173" s="58"/>
      <c r="C2173" s="59"/>
      <c r="D2173" s="60"/>
      <c r="E2173" s="58"/>
    </row>
    <row r="2174">
      <c r="A2174" s="57"/>
      <c r="B2174" s="58"/>
      <c r="C2174" s="59"/>
      <c r="D2174" s="60"/>
      <c r="E2174" s="58"/>
    </row>
    <row r="2175">
      <c r="A2175" s="57"/>
      <c r="B2175" s="58"/>
      <c r="C2175" s="59"/>
      <c r="D2175" s="60"/>
      <c r="E2175" s="58"/>
    </row>
    <row r="2176">
      <c r="A2176" s="57"/>
      <c r="B2176" s="58"/>
      <c r="C2176" s="59"/>
      <c r="D2176" s="60"/>
      <c r="E2176" s="58"/>
    </row>
    <row r="2177">
      <c r="A2177" s="57"/>
      <c r="B2177" s="58"/>
      <c r="C2177" s="59"/>
      <c r="D2177" s="60"/>
      <c r="E2177" s="58"/>
    </row>
    <row r="2178">
      <c r="A2178" s="57"/>
      <c r="B2178" s="58"/>
      <c r="C2178" s="59"/>
      <c r="D2178" s="60"/>
      <c r="E2178" s="58"/>
    </row>
    <row r="2179">
      <c r="A2179" s="57"/>
      <c r="B2179" s="58"/>
      <c r="C2179" s="59"/>
      <c r="D2179" s="60"/>
      <c r="E2179" s="58"/>
    </row>
    <row r="2180">
      <c r="A2180" s="57"/>
      <c r="B2180" s="58"/>
      <c r="C2180" s="59"/>
      <c r="D2180" s="60"/>
      <c r="E2180" s="58"/>
    </row>
    <row r="2181">
      <c r="A2181" s="57"/>
      <c r="B2181" s="58"/>
      <c r="C2181" s="59"/>
      <c r="D2181" s="60"/>
      <c r="E2181" s="58"/>
    </row>
    <row r="2182">
      <c r="A2182" s="57"/>
      <c r="B2182" s="58"/>
      <c r="C2182" s="59"/>
      <c r="D2182" s="60"/>
      <c r="E2182" s="58"/>
    </row>
    <row r="2183">
      <c r="A2183" s="57"/>
      <c r="B2183" s="58"/>
      <c r="C2183" s="59"/>
      <c r="D2183" s="60"/>
      <c r="E2183" s="58"/>
    </row>
    <row r="2184">
      <c r="A2184" s="57"/>
      <c r="B2184" s="58"/>
      <c r="C2184" s="59"/>
      <c r="D2184" s="60"/>
      <c r="E2184" s="58"/>
    </row>
    <row r="2185">
      <c r="A2185" s="57"/>
      <c r="B2185" s="58"/>
      <c r="C2185" s="59"/>
      <c r="D2185" s="60"/>
      <c r="E2185" s="58"/>
    </row>
    <row r="2186">
      <c r="A2186" s="57"/>
      <c r="B2186" s="58"/>
      <c r="C2186" s="59"/>
      <c r="D2186" s="60"/>
      <c r="E2186" s="58"/>
    </row>
    <row r="2187">
      <c r="A2187" s="57"/>
      <c r="B2187" s="58"/>
      <c r="C2187" s="59"/>
      <c r="D2187" s="60"/>
      <c r="E2187" s="58"/>
    </row>
    <row r="2188">
      <c r="A2188" s="57"/>
      <c r="B2188" s="58"/>
      <c r="C2188" s="59"/>
      <c r="D2188" s="60"/>
      <c r="E2188" s="58"/>
    </row>
    <row r="2189">
      <c r="A2189" s="57"/>
      <c r="B2189" s="58"/>
      <c r="C2189" s="59"/>
      <c r="D2189" s="60"/>
      <c r="E2189" s="58"/>
    </row>
    <row r="2190">
      <c r="A2190" s="57"/>
      <c r="B2190" s="58"/>
      <c r="C2190" s="59"/>
      <c r="D2190" s="60"/>
      <c r="E2190" s="58"/>
    </row>
    <row r="2191">
      <c r="A2191" s="57"/>
      <c r="B2191" s="58"/>
      <c r="C2191" s="59"/>
      <c r="D2191" s="60"/>
      <c r="E2191" s="58"/>
    </row>
    <row r="2192">
      <c r="A2192" s="57"/>
      <c r="B2192" s="58"/>
      <c r="C2192" s="59"/>
      <c r="D2192" s="60"/>
      <c r="E2192" s="58"/>
    </row>
    <row r="2193">
      <c r="A2193" s="57"/>
      <c r="B2193" s="58"/>
      <c r="C2193" s="59"/>
      <c r="D2193" s="60"/>
      <c r="E2193" s="58"/>
    </row>
    <row r="2194">
      <c r="A2194" s="57"/>
      <c r="B2194" s="58"/>
      <c r="C2194" s="59"/>
      <c r="D2194" s="60"/>
      <c r="E2194" s="58"/>
    </row>
    <row r="2195">
      <c r="A2195" s="57"/>
      <c r="B2195" s="58"/>
      <c r="C2195" s="59"/>
      <c r="D2195" s="60"/>
      <c r="E2195" s="58"/>
    </row>
    <row r="2196">
      <c r="A2196" s="57"/>
      <c r="B2196" s="58"/>
      <c r="C2196" s="59"/>
      <c r="D2196" s="60"/>
      <c r="E2196" s="58"/>
    </row>
    <row r="2197">
      <c r="A2197" s="57"/>
      <c r="B2197" s="58"/>
      <c r="C2197" s="59"/>
      <c r="D2197" s="60"/>
      <c r="E2197" s="58"/>
    </row>
    <row r="2198">
      <c r="A2198" s="57"/>
      <c r="B2198" s="58"/>
      <c r="C2198" s="59"/>
      <c r="D2198" s="60"/>
      <c r="E2198" s="58"/>
    </row>
    <row r="2199">
      <c r="A2199" s="57"/>
      <c r="B2199" s="58"/>
      <c r="C2199" s="59"/>
      <c r="D2199" s="60"/>
      <c r="E2199" s="58"/>
    </row>
    <row r="2200">
      <c r="A2200" s="57"/>
      <c r="B2200" s="58"/>
      <c r="C2200" s="59"/>
      <c r="D2200" s="60"/>
      <c r="E2200" s="58"/>
    </row>
    <row r="2201">
      <c r="A2201" s="57"/>
      <c r="B2201" s="58"/>
      <c r="C2201" s="59"/>
      <c r="D2201" s="60"/>
      <c r="E2201" s="58"/>
    </row>
    <row r="2202">
      <c r="A2202" s="57"/>
      <c r="B2202" s="58"/>
      <c r="C2202" s="59"/>
      <c r="D2202" s="60"/>
      <c r="E2202" s="58"/>
    </row>
    <row r="2203">
      <c r="A2203" s="57"/>
      <c r="B2203" s="58"/>
      <c r="C2203" s="59"/>
      <c r="D2203" s="60"/>
      <c r="E2203" s="58"/>
    </row>
    <row r="2204">
      <c r="A2204" s="57"/>
      <c r="B2204" s="58"/>
      <c r="C2204" s="59"/>
      <c r="D2204" s="60"/>
      <c r="E2204" s="58"/>
    </row>
    <row r="2205">
      <c r="A2205" s="57"/>
      <c r="B2205" s="58"/>
      <c r="C2205" s="59"/>
      <c r="D2205" s="60"/>
      <c r="E2205" s="58"/>
    </row>
    <row r="2206">
      <c r="A2206" s="57"/>
      <c r="B2206" s="58"/>
      <c r="C2206" s="59"/>
      <c r="D2206" s="60"/>
      <c r="E2206" s="58"/>
    </row>
    <row r="2207">
      <c r="A2207" s="57"/>
      <c r="B2207" s="58"/>
      <c r="C2207" s="59"/>
      <c r="D2207" s="60"/>
      <c r="E2207" s="58"/>
    </row>
    <row r="2208">
      <c r="A2208" s="57"/>
      <c r="B2208" s="58"/>
      <c r="C2208" s="59"/>
      <c r="D2208" s="60"/>
      <c r="E2208" s="58"/>
    </row>
    <row r="2209">
      <c r="A2209" s="57"/>
      <c r="B2209" s="58"/>
      <c r="C2209" s="59"/>
      <c r="D2209" s="60"/>
      <c r="E2209" s="58"/>
    </row>
    <row r="2210">
      <c r="A2210" s="57"/>
      <c r="B2210" s="58"/>
      <c r="C2210" s="59"/>
      <c r="D2210" s="60"/>
      <c r="E2210" s="58"/>
    </row>
    <row r="2211">
      <c r="A2211" s="57"/>
      <c r="B2211" s="58"/>
      <c r="C2211" s="59"/>
      <c r="D2211" s="60"/>
      <c r="E2211" s="58"/>
    </row>
    <row r="2212">
      <c r="A2212" s="57"/>
      <c r="B2212" s="58"/>
      <c r="C2212" s="59"/>
      <c r="D2212" s="60"/>
      <c r="E2212" s="58"/>
    </row>
    <row r="2213">
      <c r="A2213" s="57"/>
      <c r="B2213" s="58"/>
      <c r="C2213" s="59"/>
      <c r="D2213" s="60"/>
      <c r="E2213" s="58"/>
    </row>
    <row r="2214">
      <c r="A2214" s="57"/>
      <c r="B2214" s="58"/>
      <c r="C2214" s="59"/>
      <c r="D2214" s="60"/>
      <c r="E2214" s="58"/>
    </row>
    <row r="2215">
      <c r="A2215" s="57"/>
      <c r="B2215" s="58"/>
      <c r="C2215" s="59"/>
      <c r="D2215" s="60"/>
      <c r="E2215" s="58"/>
    </row>
    <row r="2216">
      <c r="A2216" s="57"/>
      <c r="B2216" s="58"/>
      <c r="C2216" s="59"/>
      <c r="D2216" s="60"/>
      <c r="E2216" s="58"/>
    </row>
    <row r="2217">
      <c r="A2217" s="57"/>
      <c r="B2217" s="58"/>
      <c r="C2217" s="59"/>
      <c r="D2217" s="60"/>
      <c r="E2217" s="58"/>
    </row>
    <row r="2218">
      <c r="A2218" s="57"/>
      <c r="B2218" s="58"/>
      <c r="C2218" s="59"/>
      <c r="D2218" s="60"/>
      <c r="E2218" s="58"/>
    </row>
    <row r="2219">
      <c r="A2219" s="57"/>
      <c r="B2219" s="58"/>
      <c r="C2219" s="59"/>
      <c r="D2219" s="60"/>
      <c r="E2219" s="58"/>
    </row>
    <row r="2220">
      <c r="A2220" s="57"/>
      <c r="B2220" s="58"/>
      <c r="C2220" s="59"/>
      <c r="D2220" s="60"/>
      <c r="E2220" s="58"/>
    </row>
    <row r="2221">
      <c r="A2221" s="57"/>
      <c r="B2221" s="58"/>
      <c r="C2221" s="59"/>
      <c r="D2221" s="60"/>
      <c r="E2221" s="58"/>
    </row>
    <row r="2222">
      <c r="A2222" s="57"/>
      <c r="B2222" s="58"/>
      <c r="C2222" s="59"/>
      <c r="D2222" s="60"/>
      <c r="E2222" s="58"/>
    </row>
    <row r="2223">
      <c r="A2223" s="57"/>
      <c r="B2223" s="58"/>
      <c r="C2223" s="59"/>
      <c r="D2223" s="60"/>
      <c r="E2223" s="58"/>
    </row>
    <row r="2224">
      <c r="A2224" s="57"/>
      <c r="B2224" s="58"/>
      <c r="C2224" s="59"/>
      <c r="D2224" s="60"/>
      <c r="E2224" s="58"/>
    </row>
    <row r="2225">
      <c r="A2225" s="57"/>
      <c r="B2225" s="58"/>
      <c r="C2225" s="59"/>
      <c r="D2225" s="60"/>
      <c r="E2225" s="58"/>
    </row>
    <row r="2226">
      <c r="A2226" s="57"/>
      <c r="B2226" s="58"/>
      <c r="C2226" s="59"/>
      <c r="D2226" s="60"/>
      <c r="E2226" s="58"/>
    </row>
    <row r="2227">
      <c r="A2227" s="57"/>
      <c r="B2227" s="58"/>
      <c r="C2227" s="59"/>
      <c r="D2227" s="60"/>
      <c r="E2227" s="58"/>
    </row>
    <row r="2228">
      <c r="A2228" s="57"/>
      <c r="B2228" s="58"/>
      <c r="C2228" s="59"/>
      <c r="D2228" s="60"/>
      <c r="E2228" s="58"/>
    </row>
    <row r="2229">
      <c r="A2229" s="57"/>
      <c r="B2229" s="58"/>
      <c r="C2229" s="59"/>
      <c r="D2229" s="60"/>
      <c r="E2229" s="58"/>
    </row>
    <row r="2230">
      <c r="A2230" s="57"/>
      <c r="B2230" s="58"/>
      <c r="C2230" s="59"/>
      <c r="D2230" s="60"/>
      <c r="E2230" s="58"/>
    </row>
    <row r="2231">
      <c r="A2231" s="57"/>
      <c r="B2231" s="58"/>
      <c r="C2231" s="59"/>
      <c r="D2231" s="60"/>
      <c r="E2231" s="58"/>
    </row>
    <row r="2232">
      <c r="A2232" s="57"/>
      <c r="B2232" s="58"/>
      <c r="C2232" s="59"/>
      <c r="D2232" s="60"/>
      <c r="E2232" s="58"/>
    </row>
    <row r="2233">
      <c r="A2233" s="57"/>
      <c r="B2233" s="58"/>
      <c r="C2233" s="59"/>
      <c r="D2233" s="60"/>
      <c r="E2233" s="58"/>
    </row>
    <row r="2234">
      <c r="A2234" s="57"/>
      <c r="B2234" s="58"/>
      <c r="C2234" s="59"/>
      <c r="D2234" s="60"/>
      <c r="E2234" s="58"/>
    </row>
    <row r="2235">
      <c r="A2235" s="57"/>
      <c r="B2235" s="58"/>
      <c r="C2235" s="59"/>
      <c r="D2235" s="60"/>
      <c r="E2235" s="58"/>
    </row>
    <row r="2236">
      <c r="A2236" s="57"/>
      <c r="B2236" s="58"/>
      <c r="C2236" s="59"/>
      <c r="D2236" s="60"/>
      <c r="E2236" s="58"/>
    </row>
    <row r="2237">
      <c r="A2237" s="57"/>
      <c r="B2237" s="58"/>
      <c r="C2237" s="59"/>
      <c r="D2237" s="60"/>
      <c r="E2237" s="58"/>
    </row>
    <row r="2238">
      <c r="A2238" s="57"/>
      <c r="B2238" s="58"/>
      <c r="C2238" s="59"/>
      <c r="D2238" s="60"/>
      <c r="E2238" s="58"/>
    </row>
    <row r="2239">
      <c r="A2239" s="57"/>
      <c r="B2239" s="58"/>
      <c r="C2239" s="59"/>
      <c r="D2239" s="60"/>
      <c r="E2239" s="58"/>
    </row>
    <row r="2240">
      <c r="A2240" s="57"/>
      <c r="B2240" s="58"/>
      <c r="C2240" s="59"/>
      <c r="D2240" s="60"/>
      <c r="E2240" s="58"/>
    </row>
    <row r="2241">
      <c r="A2241" s="57"/>
      <c r="B2241" s="58"/>
      <c r="C2241" s="59"/>
      <c r="D2241" s="60"/>
      <c r="E2241" s="58"/>
    </row>
    <row r="2242">
      <c r="A2242" s="57"/>
      <c r="B2242" s="58"/>
      <c r="C2242" s="59"/>
      <c r="D2242" s="60"/>
      <c r="E2242" s="58"/>
    </row>
    <row r="2243">
      <c r="A2243" s="57"/>
      <c r="B2243" s="58"/>
      <c r="C2243" s="59"/>
      <c r="D2243" s="60"/>
      <c r="E2243" s="58"/>
    </row>
    <row r="2244">
      <c r="A2244" s="57"/>
      <c r="B2244" s="58"/>
      <c r="C2244" s="59"/>
      <c r="D2244" s="60"/>
      <c r="E2244" s="58"/>
    </row>
    <row r="2245">
      <c r="A2245" s="57"/>
      <c r="B2245" s="58"/>
      <c r="C2245" s="59"/>
      <c r="D2245" s="60"/>
      <c r="E2245" s="58"/>
    </row>
    <row r="2246">
      <c r="A2246" s="57"/>
      <c r="B2246" s="58"/>
      <c r="C2246" s="59"/>
      <c r="D2246" s="60"/>
      <c r="E2246" s="58"/>
    </row>
    <row r="2247">
      <c r="A2247" s="57"/>
      <c r="B2247" s="58"/>
      <c r="C2247" s="59"/>
      <c r="D2247" s="60"/>
      <c r="E2247" s="58"/>
    </row>
    <row r="2248">
      <c r="A2248" s="57"/>
      <c r="B2248" s="58"/>
      <c r="C2248" s="59"/>
      <c r="D2248" s="60"/>
      <c r="E2248" s="58"/>
    </row>
    <row r="2249">
      <c r="A2249" s="57"/>
      <c r="B2249" s="58"/>
      <c r="C2249" s="59"/>
      <c r="D2249" s="60"/>
      <c r="E2249" s="58"/>
    </row>
    <row r="2250">
      <c r="A2250" s="57"/>
      <c r="B2250" s="58"/>
      <c r="C2250" s="59"/>
      <c r="D2250" s="60"/>
      <c r="E2250" s="58"/>
    </row>
    <row r="2251">
      <c r="A2251" s="57"/>
      <c r="B2251" s="58"/>
      <c r="C2251" s="59"/>
      <c r="D2251" s="60"/>
      <c r="E2251" s="58"/>
    </row>
    <row r="2252">
      <c r="A2252" s="57"/>
      <c r="B2252" s="58"/>
      <c r="C2252" s="59"/>
      <c r="D2252" s="60"/>
      <c r="E2252" s="58"/>
    </row>
    <row r="2253">
      <c r="A2253" s="57"/>
      <c r="B2253" s="58"/>
      <c r="C2253" s="59"/>
      <c r="D2253" s="60"/>
      <c r="E2253" s="58"/>
    </row>
    <row r="2254">
      <c r="A2254" s="57"/>
      <c r="B2254" s="58"/>
      <c r="C2254" s="59"/>
      <c r="D2254" s="60"/>
      <c r="E2254" s="58"/>
    </row>
    <row r="2255">
      <c r="A2255" s="57"/>
      <c r="B2255" s="58"/>
      <c r="C2255" s="59"/>
      <c r="D2255" s="60"/>
      <c r="E2255" s="58"/>
    </row>
    <row r="2256">
      <c r="A2256" s="57"/>
      <c r="B2256" s="58"/>
      <c r="C2256" s="59"/>
      <c r="D2256" s="60"/>
      <c r="E2256" s="58"/>
    </row>
    <row r="2257">
      <c r="A2257" s="57"/>
      <c r="B2257" s="58"/>
      <c r="C2257" s="59"/>
      <c r="D2257" s="60"/>
      <c r="E2257" s="58"/>
    </row>
    <row r="2258">
      <c r="A2258" s="57"/>
      <c r="B2258" s="58"/>
      <c r="C2258" s="59"/>
      <c r="D2258" s="60"/>
      <c r="E2258" s="58"/>
    </row>
    <row r="2259">
      <c r="A2259" s="57"/>
      <c r="B2259" s="58"/>
      <c r="C2259" s="59"/>
      <c r="D2259" s="60"/>
      <c r="E2259" s="58"/>
    </row>
    <row r="2260">
      <c r="A2260" s="57"/>
      <c r="B2260" s="58"/>
      <c r="C2260" s="59"/>
      <c r="D2260" s="60"/>
      <c r="E2260" s="58"/>
    </row>
    <row r="2261">
      <c r="A2261" s="57"/>
      <c r="B2261" s="58"/>
      <c r="C2261" s="59"/>
      <c r="D2261" s="60"/>
      <c r="E2261" s="58"/>
    </row>
    <row r="2262">
      <c r="A2262" s="57"/>
      <c r="B2262" s="58"/>
      <c r="C2262" s="59"/>
      <c r="D2262" s="60"/>
      <c r="E2262" s="58"/>
    </row>
    <row r="2263">
      <c r="A2263" s="57"/>
      <c r="B2263" s="58"/>
      <c r="C2263" s="59"/>
      <c r="D2263" s="60"/>
      <c r="E2263" s="58"/>
    </row>
    <row r="2264">
      <c r="A2264" s="57"/>
      <c r="B2264" s="58"/>
      <c r="C2264" s="59"/>
      <c r="D2264" s="60"/>
      <c r="E2264" s="58"/>
    </row>
    <row r="2265">
      <c r="A2265" s="57"/>
      <c r="B2265" s="58"/>
      <c r="C2265" s="59"/>
      <c r="D2265" s="60"/>
      <c r="E2265" s="58"/>
    </row>
    <row r="2266">
      <c r="A2266" s="57"/>
      <c r="B2266" s="58"/>
      <c r="C2266" s="59"/>
      <c r="D2266" s="60"/>
      <c r="E2266" s="58"/>
    </row>
    <row r="2267">
      <c r="A2267" s="57"/>
      <c r="B2267" s="58"/>
      <c r="C2267" s="59"/>
      <c r="D2267" s="60"/>
      <c r="E2267" s="58"/>
    </row>
    <row r="2268">
      <c r="A2268" s="57"/>
      <c r="B2268" s="58"/>
      <c r="C2268" s="59"/>
      <c r="D2268" s="60"/>
      <c r="E2268" s="58"/>
    </row>
    <row r="2269">
      <c r="A2269" s="57"/>
      <c r="B2269" s="58"/>
      <c r="C2269" s="59"/>
      <c r="D2269" s="60"/>
      <c r="E2269" s="58"/>
    </row>
    <row r="2270">
      <c r="A2270" s="57"/>
      <c r="B2270" s="58"/>
      <c r="C2270" s="59"/>
      <c r="D2270" s="60"/>
      <c r="E2270" s="58"/>
    </row>
    <row r="2271">
      <c r="A2271" s="57"/>
      <c r="B2271" s="58"/>
      <c r="C2271" s="59"/>
      <c r="D2271" s="60"/>
      <c r="E2271" s="58"/>
    </row>
    <row r="2272">
      <c r="A2272" s="57"/>
      <c r="B2272" s="58"/>
      <c r="C2272" s="59"/>
      <c r="D2272" s="60"/>
      <c r="E2272" s="58"/>
    </row>
    <row r="2273">
      <c r="A2273" s="57"/>
      <c r="B2273" s="58"/>
      <c r="C2273" s="59"/>
      <c r="D2273" s="60"/>
      <c r="E2273" s="58"/>
    </row>
    <row r="2274">
      <c r="A2274" s="57"/>
      <c r="B2274" s="58"/>
      <c r="C2274" s="59"/>
      <c r="D2274" s="60"/>
      <c r="E2274" s="58"/>
    </row>
    <row r="2275">
      <c r="A2275" s="57"/>
      <c r="B2275" s="58"/>
      <c r="C2275" s="59"/>
      <c r="D2275" s="60"/>
      <c r="E2275" s="58"/>
    </row>
    <row r="2276">
      <c r="A2276" s="57"/>
      <c r="B2276" s="58"/>
      <c r="C2276" s="59"/>
      <c r="D2276" s="60"/>
      <c r="E2276" s="58"/>
    </row>
    <row r="2277">
      <c r="A2277" s="57"/>
      <c r="B2277" s="58"/>
      <c r="C2277" s="59"/>
      <c r="D2277" s="60"/>
      <c r="E2277" s="58"/>
    </row>
    <row r="2278">
      <c r="A2278" s="57"/>
      <c r="B2278" s="58"/>
      <c r="C2278" s="59"/>
      <c r="D2278" s="60"/>
      <c r="E2278" s="58"/>
    </row>
    <row r="2279">
      <c r="A2279" s="57"/>
      <c r="B2279" s="58"/>
      <c r="C2279" s="59"/>
      <c r="D2279" s="60"/>
      <c r="E2279" s="58"/>
    </row>
    <row r="2280">
      <c r="A2280" s="57"/>
      <c r="B2280" s="58"/>
      <c r="C2280" s="59"/>
      <c r="D2280" s="60"/>
      <c r="E2280" s="58"/>
    </row>
    <row r="2281">
      <c r="A2281" s="57"/>
      <c r="B2281" s="58"/>
      <c r="C2281" s="59"/>
      <c r="D2281" s="60"/>
      <c r="E2281" s="58"/>
    </row>
    <row r="2282">
      <c r="A2282" s="57"/>
      <c r="B2282" s="58"/>
      <c r="C2282" s="59"/>
      <c r="D2282" s="60"/>
      <c r="E2282" s="58"/>
    </row>
    <row r="2283">
      <c r="A2283" s="57"/>
      <c r="B2283" s="58"/>
      <c r="C2283" s="59"/>
      <c r="D2283" s="60"/>
      <c r="E2283" s="58"/>
    </row>
    <row r="2284">
      <c r="A2284" s="57"/>
      <c r="B2284" s="58"/>
      <c r="C2284" s="59"/>
      <c r="D2284" s="60"/>
      <c r="E2284" s="58"/>
    </row>
    <row r="2285">
      <c r="A2285" s="57"/>
      <c r="B2285" s="58"/>
      <c r="C2285" s="59"/>
      <c r="D2285" s="60"/>
      <c r="E2285" s="58"/>
    </row>
    <row r="2286">
      <c r="A2286" s="57"/>
      <c r="B2286" s="58"/>
      <c r="C2286" s="59"/>
      <c r="D2286" s="60"/>
      <c r="E2286" s="58"/>
    </row>
    <row r="2287">
      <c r="A2287" s="57"/>
      <c r="B2287" s="58"/>
      <c r="C2287" s="59"/>
      <c r="D2287" s="60"/>
      <c r="E2287" s="58"/>
    </row>
    <row r="2288">
      <c r="A2288" s="57"/>
      <c r="B2288" s="58"/>
      <c r="C2288" s="59"/>
      <c r="D2288" s="60"/>
      <c r="E2288" s="58"/>
    </row>
    <row r="2289">
      <c r="A2289" s="57"/>
      <c r="B2289" s="58"/>
      <c r="C2289" s="59"/>
      <c r="D2289" s="60"/>
      <c r="E2289" s="58"/>
    </row>
    <row r="2290">
      <c r="A2290" s="57"/>
      <c r="B2290" s="58"/>
      <c r="C2290" s="59"/>
      <c r="D2290" s="60"/>
      <c r="E2290" s="58"/>
    </row>
    <row r="2291">
      <c r="A2291" s="57"/>
      <c r="B2291" s="58"/>
      <c r="C2291" s="59"/>
      <c r="D2291" s="60"/>
      <c r="E2291" s="58"/>
    </row>
    <row r="2292">
      <c r="A2292" s="57"/>
      <c r="B2292" s="58"/>
      <c r="C2292" s="59"/>
      <c r="D2292" s="60"/>
      <c r="E2292" s="58"/>
    </row>
    <row r="2293">
      <c r="A2293" s="57"/>
      <c r="B2293" s="58"/>
      <c r="C2293" s="59"/>
      <c r="D2293" s="60"/>
      <c r="E2293" s="58"/>
    </row>
    <row r="2294">
      <c r="A2294" s="57"/>
      <c r="B2294" s="58"/>
      <c r="C2294" s="59"/>
      <c r="D2294" s="60"/>
      <c r="E2294" s="58"/>
    </row>
    <row r="2295">
      <c r="A2295" s="57"/>
      <c r="B2295" s="58"/>
      <c r="C2295" s="59"/>
      <c r="D2295" s="60"/>
      <c r="E2295" s="58"/>
    </row>
    <row r="2296">
      <c r="A2296" s="57"/>
      <c r="B2296" s="58"/>
      <c r="C2296" s="59"/>
      <c r="D2296" s="60"/>
      <c r="E2296" s="58"/>
    </row>
    <row r="2297">
      <c r="A2297" s="57"/>
      <c r="B2297" s="58"/>
      <c r="C2297" s="59"/>
      <c r="D2297" s="60"/>
      <c r="E2297" s="58"/>
    </row>
    <row r="2298">
      <c r="A2298" s="57"/>
      <c r="B2298" s="58"/>
      <c r="C2298" s="59"/>
      <c r="D2298" s="60"/>
      <c r="E2298" s="58"/>
    </row>
    <row r="2299">
      <c r="A2299" s="57"/>
      <c r="B2299" s="58"/>
      <c r="C2299" s="59"/>
      <c r="D2299" s="60"/>
      <c r="E2299" s="58"/>
    </row>
    <row r="2300">
      <c r="A2300" s="57"/>
      <c r="B2300" s="58"/>
      <c r="C2300" s="59"/>
      <c r="D2300" s="60"/>
      <c r="E2300" s="58"/>
    </row>
    <row r="2301">
      <c r="A2301" s="57"/>
      <c r="B2301" s="58"/>
      <c r="C2301" s="59"/>
      <c r="D2301" s="60"/>
      <c r="E2301" s="58"/>
    </row>
    <row r="2302">
      <c r="A2302" s="57"/>
      <c r="B2302" s="58"/>
      <c r="C2302" s="59"/>
      <c r="D2302" s="60"/>
      <c r="E2302" s="58"/>
    </row>
    <row r="2303">
      <c r="A2303" s="57"/>
      <c r="B2303" s="58"/>
      <c r="C2303" s="59"/>
      <c r="D2303" s="60"/>
      <c r="E2303" s="58"/>
    </row>
    <row r="2304">
      <c r="A2304" s="57"/>
      <c r="B2304" s="58"/>
      <c r="C2304" s="59"/>
      <c r="D2304" s="60"/>
      <c r="E2304" s="58"/>
    </row>
    <row r="2305">
      <c r="A2305" s="57"/>
      <c r="B2305" s="58"/>
      <c r="C2305" s="59"/>
      <c r="D2305" s="60"/>
      <c r="E2305" s="58"/>
    </row>
    <row r="2306">
      <c r="A2306" s="57"/>
      <c r="B2306" s="58"/>
      <c r="C2306" s="59"/>
      <c r="D2306" s="60"/>
      <c r="E2306" s="58"/>
    </row>
    <row r="2307">
      <c r="A2307" s="57"/>
      <c r="B2307" s="58"/>
      <c r="C2307" s="59"/>
      <c r="D2307" s="60"/>
      <c r="E2307" s="58"/>
    </row>
    <row r="2308">
      <c r="A2308" s="57"/>
      <c r="B2308" s="58"/>
      <c r="C2308" s="59"/>
      <c r="D2308" s="60"/>
      <c r="E2308" s="58"/>
    </row>
    <row r="2309">
      <c r="A2309" s="57"/>
      <c r="B2309" s="58"/>
      <c r="C2309" s="59"/>
      <c r="D2309" s="60"/>
      <c r="E2309" s="58"/>
    </row>
    <row r="2310">
      <c r="A2310" s="57"/>
      <c r="B2310" s="58"/>
      <c r="C2310" s="59"/>
      <c r="D2310" s="60"/>
      <c r="E2310" s="58"/>
    </row>
    <row r="2311">
      <c r="A2311" s="57"/>
      <c r="B2311" s="58"/>
      <c r="C2311" s="59"/>
      <c r="D2311" s="60"/>
      <c r="E2311" s="58"/>
    </row>
    <row r="2312">
      <c r="A2312" s="57"/>
      <c r="B2312" s="58"/>
      <c r="C2312" s="59"/>
      <c r="D2312" s="60"/>
      <c r="E2312" s="58"/>
    </row>
    <row r="2313">
      <c r="A2313" s="57"/>
      <c r="B2313" s="58"/>
      <c r="C2313" s="59"/>
      <c r="D2313" s="60"/>
      <c r="E2313" s="58"/>
    </row>
    <row r="2314">
      <c r="A2314" s="57"/>
      <c r="B2314" s="58"/>
      <c r="C2314" s="59"/>
      <c r="D2314" s="60"/>
      <c r="E2314" s="58"/>
    </row>
    <row r="2315">
      <c r="A2315" s="57"/>
      <c r="B2315" s="58"/>
      <c r="C2315" s="59"/>
      <c r="D2315" s="60"/>
      <c r="E2315" s="58"/>
    </row>
    <row r="2316">
      <c r="A2316" s="57"/>
      <c r="B2316" s="58"/>
      <c r="C2316" s="59"/>
      <c r="D2316" s="60"/>
      <c r="E2316" s="58"/>
    </row>
    <row r="2317">
      <c r="A2317" s="57"/>
      <c r="B2317" s="58"/>
      <c r="C2317" s="59"/>
      <c r="D2317" s="60"/>
      <c r="E2317" s="58"/>
    </row>
    <row r="2318">
      <c r="A2318" s="57"/>
      <c r="B2318" s="58"/>
      <c r="C2318" s="59"/>
      <c r="D2318" s="60"/>
      <c r="E2318" s="58"/>
    </row>
    <row r="2319">
      <c r="A2319" s="57"/>
      <c r="B2319" s="58"/>
      <c r="C2319" s="59"/>
      <c r="D2319" s="60"/>
      <c r="E2319" s="58"/>
    </row>
    <row r="2320">
      <c r="A2320" s="57"/>
      <c r="B2320" s="58"/>
      <c r="C2320" s="59"/>
      <c r="D2320" s="60"/>
      <c r="E2320" s="58"/>
    </row>
    <row r="2321">
      <c r="A2321" s="57"/>
      <c r="B2321" s="58"/>
      <c r="C2321" s="59"/>
      <c r="D2321" s="60"/>
      <c r="E2321" s="58"/>
    </row>
    <row r="2322">
      <c r="A2322" s="57"/>
      <c r="B2322" s="58"/>
      <c r="C2322" s="59"/>
      <c r="D2322" s="60"/>
      <c r="E2322" s="58"/>
    </row>
    <row r="2323">
      <c r="A2323" s="57"/>
      <c r="B2323" s="58"/>
      <c r="C2323" s="59"/>
      <c r="D2323" s="60"/>
      <c r="E2323" s="58"/>
    </row>
    <row r="2324">
      <c r="A2324" s="57"/>
      <c r="B2324" s="58"/>
      <c r="C2324" s="59"/>
      <c r="D2324" s="60"/>
      <c r="E2324" s="58"/>
    </row>
    <row r="2325">
      <c r="A2325" s="57"/>
      <c r="B2325" s="58"/>
      <c r="C2325" s="59"/>
      <c r="D2325" s="60"/>
      <c r="E2325" s="58"/>
    </row>
    <row r="2326">
      <c r="A2326" s="57"/>
      <c r="B2326" s="58"/>
      <c r="C2326" s="59"/>
      <c r="D2326" s="60"/>
      <c r="E2326" s="58"/>
    </row>
    <row r="2327">
      <c r="A2327" s="57"/>
      <c r="B2327" s="58"/>
      <c r="C2327" s="59"/>
      <c r="D2327" s="60"/>
      <c r="E2327" s="58"/>
    </row>
    <row r="2328">
      <c r="A2328" s="57"/>
      <c r="B2328" s="58"/>
      <c r="C2328" s="59"/>
      <c r="D2328" s="60"/>
      <c r="E2328" s="58"/>
    </row>
    <row r="2329">
      <c r="A2329" s="57"/>
      <c r="B2329" s="58"/>
      <c r="C2329" s="59"/>
      <c r="D2329" s="60"/>
      <c r="E2329" s="58"/>
    </row>
    <row r="2330">
      <c r="A2330" s="57"/>
      <c r="B2330" s="58"/>
      <c r="C2330" s="59"/>
      <c r="D2330" s="60"/>
      <c r="E2330" s="58"/>
    </row>
    <row r="2331">
      <c r="A2331" s="57"/>
      <c r="B2331" s="58"/>
      <c r="C2331" s="59"/>
      <c r="D2331" s="60"/>
      <c r="E2331" s="58"/>
    </row>
    <row r="2332">
      <c r="A2332" s="57"/>
      <c r="B2332" s="58"/>
      <c r="C2332" s="59"/>
      <c r="D2332" s="60"/>
      <c r="E2332" s="58"/>
    </row>
    <row r="2333">
      <c r="A2333" s="57"/>
      <c r="B2333" s="58"/>
      <c r="C2333" s="59"/>
      <c r="D2333" s="60"/>
      <c r="E2333" s="58"/>
    </row>
    <row r="2334">
      <c r="A2334" s="57"/>
      <c r="B2334" s="58"/>
      <c r="C2334" s="59"/>
      <c r="D2334" s="60"/>
      <c r="E2334" s="58"/>
    </row>
    <row r="2335">
      <c r="A2335" s="57"/>
      <c r="B2335" s="58"/>
      <c r="C2335" s="59"/>
      <c r="D2335" s="60"/>
      <c r="E2335" s="58"/>
    </row>
    <row r="2336">
      <c r="A2336" s="57"/>
      <c r="B2336" s="58"/>
      <c r="C2336" s="59"/>
      <c r="D2336" s="60"/>
      <c r="E2336" s="58"/>
    </row>
    <row r="2337">
      <c r="A2337" s="57"/>
      <c r="B2337" s="58"/>
      <c r="C2337" s="59"/>
      <c r="D2337" s="60"/>
      <c r="E2337" s="58"/>
    </row>
    <row r="2338">
      <c r="A2338" s="57"/>
      <c r="B2338" s="58"/>
      <c r="C2338" s="59"/>
      <c r="D2338" s="60"/>
      <c r="E2338" s="58"/>
    </row>
    <row r="2339">
      <c r="A2339" s="57"/>
      <c r="B2339" s="58"/>
      <c r="C2339" s="59"/>
      <c r="D2339" s="60"/>
      <c r="E2339" s="58"/>
    </row>
    <row r="2340">
      <c r="A2340" s="57"/>
      <c r="B2340" s="58"/>
      <c r="C2340" s="59"/>
      <c r="D2340" s="60"/>
      <c r="E2340" s="58"/>
    </row>
    <row r="2341">
      <c r="A2341" s="57"/>
      <c r="B2341" s="58"/>
      <c r="C2341" s="59"/>
      <c r="D2341" s="60"/>
      <c r="E2341" s="58"/>
    </row>
    <row r="2342">
      <c r="A2342" s="57"/>
      <c r="B2342" s="58"/>
      <c r="C2342" s="59"/>
      <c r="D2342" s="60"/>
      <c r="E2342" s="58"/>
    </row>
    <row r="2343">
      <c r="A2343" s="57"/>
      <c r="B2343" s="58"/>
      <c r="C2343" s="59"/>
      <c r="D2343" s="60"/>
      <c r="E2343" s="58"/>
    </row>
    <row r="2344">
      <c r="A2344" s="57"/>
      <c r="B2344" s="58"/>
      <c r="C2344" s="59"/>
      <c r="D2344" s="60"/>
      <c r="E2344" s="58"/>
    </row>
    <row r="2345">
      <c r="A2345" s="57"/>
      <c r="B2345" s="58"/>
      <c r="C2345" s="59"/>
      <c r="D2345" s="60"/>
      <c r="E2345" s="58"/>
    </row>
    <row r="2346">
      <c r="A2346" s="57"/>
      <c r="B2346" s="58"/>
      <c r="C2346" s="59"/>
      <c r="D2346" s="60"/>
      <c r="E2346" s="58"/>
    </row>
    <row r="2347">
      <c r="A2347" s="57"/>
      <c r="B2347" s="58"/>
      <c r="C2347" s="59"/>
      <c r="D2347" s="60"/>
      <c r="E2347" s="58"/>
    </row>
    <row r="2348">
      <c r="A2348" s="57"/>
      <c r="B2348" s="58"/>
      <c r="C2348" s="59"/>
      <c r="D2348" s="60"/>
      <c r="E2348" s="58"/>
    </row>
    <row r="2349">
      <c r="A2349" s="57"/>
      <c r="B2349" s="58"/>
      <c r="C2349" s="59"/>
      <c r="D2349" s="60"/>
      <c r="E2349" s="58"/>
    </row>
    <row r="2350">
      <c r="A2350" s="57"/>
      <c r="B2350" s="58"/>
      <c r="C2350" s="59"/>
      <c r="D2350" s="60"/>
      <c r="E2350" s="58"/>
    </row>
    <row r="2351">
      <c r="A2351" s="57"/>
      <c r="B2351" s="58"/>
      <c r="C2351" s="59"/>
      <c r="D2351" s="60"/>
      <c r="E2351" s="58"/>
    </row>
    <row r="2352">
      <c r="A2352" s="57"/>
      <c r="B2352" s="58"/>
      <c r="C2352" s="59"/>
      <c r="D2352" s="60"/>
      <c r="E2352" s="58"/>
    </row>
    <row r="2353">
      <c r="A2353" s="57"/>
      <c r="B2353" s="58"/>
      <c r="C2353" s="59"/>
      <c r="D2353" s="60"/>
      <c r="E2353" s="58"/>
    </row>
    <row r="2354">
      <c r="A2354" s="57"/>
      <c r="B2354" s="58"/>
      <c r="C2354" s="59"/>
      <c r="D2354" s="60"/>
      <c r="E2354" s="58"/>
    </row>
    <row r="2355">
      <c r="A2355" s="57"/>
      <c r="B2355" s="58"/>
      <c r="C2355" s="59"/>
      <c r="D2355" s="60"/>
      <c r="E2355" s="58"/>
    </row>
    <row r="2356">
      <c r="A2356" s="57"/>
      <c r="B2356" s="58"/>
      <c r="C2356" s="59"/>
      <c r="D2356" s="60"/>
      <c r="E2356" s="58"/>
    </row>
    <row r="2357">
      <c r="A2357" s="57"/>
      <c r="B2357" s="58"/>
      <c r="C2357" s="59"/>
      <c r="D2357" s="60"/>
      <c r="E2357" s="58"/>
    </row>
    <row r="2358">
      <c r="A2358" s="57"/>
      <c r="B2358" s="58"/>
      <c r="C2358" s="59"/>
      <c r="D2358" s="60"/>
      <c r="E2358" s="58"/>
    </row>
    <row r="2359">
      <c r="A2359" s="57"/>
      <c r="B2359" s="58"/>
      <c r="C2359" s="59"/>
      <c r="D2359" s="60"/>
      <c r="E2359" s="58"/>
    </row>
  </sheetData>
  <mergeCells count="438">
    <mergeCell ref="B967:C967"/>
    <mergeCell ref="B968:C968"/>
    <mergeCell ref="B970:C970"/>
    <mergeCell ref="B971:C971"/>
    <mergeCell ref="B977:C977"/>
    <mergeCell ref="B978:C978"/>
    <mergeCell ref="B980:C980"/>
    <mergeCell ref="B981:C981"/>
    <mergeCell ref="B982:C982"/>
    <mergeCell ref="B986:C986"/>
    <mergeCell ref="B988:C988"/>
    <mergeCell ref="B995:C995"/>
    <mergeCell ref="B996:C996"/>
    <mergeCell ref="B997:C997"/>
    <mergeCell ref="B998:C998"/>
    <mergeCell ref="B999:C999"/>
    <mergeCell ref="B1000:C1000"/>
    <mergeCell ref="B1006:C1006"/>
    <mergeCell ref="B1007:C1007"/>
    <mergeCell ref="B1008:C1008"/>
    <mergeCell ref="B1012:C1012"/>
    <mergeCell ref="B1015:C1015"/>
    <mergeCell ref="B1016:C1016"/>
    <mergeCell ref="B1019:C1019"/>
    <mergeCell ref="B1022:C1022"/>
    <mergeCell ref="B1023:C1023"/>
    <mergeCell ref="B1024:C1024"/>
    <mergeCell ref="B1026:C1026"/>
    <mergeCell ref="B1028:C1028"/>
    <mergeCell ref="B1030:C1030"/>
    <mergeCell ref="B1033:C1033"/>
    <mergeCell ref="B1036:C1036"/>
    <mergeCell ref="B1037:C1037"/>
    <mergeCell ref="B1038:C1038"/>
    <mergeCell ref="B1041:C1041"/>
    <mergeCell ref="B1043:C1043"/>
    <mergeCell ref="B1044:C1044"/>
    <mergeCell ref="B1045:C1045"/>
    <mergeCell ref="B1046:C1046"/>
    <mergeCell ref="B1050:C1050"/>
    <mergeCell ref="B1051:C1051"/>
    <mergeCell ref="B1052:C1052"/>
    <mergeCell ref="B1055:C1055"/>
    <mergeCell ref="B1059:C1059"/>
    <mergeCell ref="B1060:C1060"/>
    <mergeCell ref="B1061:C1061"/>
    <mergeCell ref="B1062:C1062"/>
    <mergeCell ref="B1063:C1063"/>
    <mergeCell ref="B1071:C1071"/>
    <mergeCell ref="B1072:C1072"/>
    <mergeCell ref="B1073:C1073"/>
    <mergeCell ref="B1081:C1081"/>
    <mergeCell ref="B1082:C1082"/>
    <mergeCell ref="B1084:C1084"/>
    <mergeCell ref="B1093:C1093"/>
    <mergeCell ref="B1094:C1094"/>
    <mergeCell ref="B1095:C1095"/>
    <mergeCell ref="B1096:C1096"/>
    <mergeCell ref="B1098:C1098"/>
    <mergeCell ref="B1103:C1103"/>
    <mergeCell ref="B1104:C1104"/>
    <mergeCell ref="B1107:C1107"/>
    <mergeCell ref="B1110:C1110"/>
    <mergeCell ref="B1114:C1114"/>
    <mergeCell ref="B1117:C1117"/>
    <mergeCell ref="B1119:C1119"/>
    <mergeCell ref="B1126:C1126"/>
    <mergeCell ref="B1131:C1131"/>
    <mergeCell ref="B1132:C1132"/>
    <mergeCell ref="B1133:C1133"/>
    <mergeCell ref="B1135:C1135"/>
    <mergeCell ref="B1138:C1138"/>
    <mergeCell ref="B1141:C1141"/>
    <mergeCell ref="B1145:C1145"/>
    <mergeCell ref="B1147:C1147"/>
    <mergeCell ref="B1150:C1150"/>
    <mergeCell ref="B1152:C1152"/>
    <mergeCell ref="B1154:C1154"/>
    <mergeCell ref="B1157:C1157"/>
    <mergeCell ref="B1160:C1160"/>
    <mergeCell ref="B1169:C1169"/>
    <mergeCell ref="B1173:C1173"/>
    <mergeCell ref="B1174:C1174"/>
    <mergeCell ref="B1175:C1175"/>
    <mergeCell ref="B1176:C1176"/>
    <mergeCell ref="B1178:C1178"/>
    <mergeCell ref="B1179:C1179"/>
    <mergeCell ref="B1181:C1181"/>
    <mergeCell ref="B1184:C1184"/>
    <mergeCell ref="B1187:C1187"/>
    <mergeCell ref="B1188:C1188"/>
    <mergeCell ref="B1192:C1192"/>
    <mergeCell ref="B1196:C1196"/>
    <mergeCell ref="B1197:C1197"/>
    <mergeCell ref="B1201:C1201"/>
    <mergeCell ref="B1202:C1202"/>
    <mergeCell ref="B1205:C1205"/>
    <mergeCell ref="B1206:C1206"/>
    <mergeCell ref="B1314:C1314"/>
    <mergeCell ref="B1316:C1316"/>
    <mergeCell ref="B1319:C1319"/>
    <mergeCell ref="B1322:C1322"/>
    <mergeCell ref="B1323:C1323"/>
    <mergeCell ref="B1325:C1325"/>
    <mergeCell ref="B1327:C1327"/>
    <mergeCell ref="B1344:C1344"/>
    <mergeCell ref="B1347:C1347"/>
    <mergeCell ref="B1353:C1353"/>
    <mergeCell ref="B1354:C1354"/>
    <mergeCell ref="B1328:C1328"/>
    <mergeCell ref="B1330:C1330"/>
    <mergeCell ref="B1335:C1335"/>
    <mergeCell ref="B1336:C1336"/>
    <mergeCell ref="B1337:C1337"/>
    <mergeCell ref="B1341:C1341"/>
    <mergeCell ref="B1342:C1342"/>
    <mergeCell ref="B1207:C1207"/>
    <mergeCell ref="B1208:C1208"/>
    <mergeCell ref="B1213:C1213"/>
    <mergeCell ref="B1215:C1215"/>
    <mergeCell ref="B1217:C1217"/>
    <mergeCell ref="B1218:C1218"/>
    <mergeCell ref="B1221:C1221"/>
    <mergeCell ref="B1222:C1222"/>
    <mergeCell ref="B1224:C1224"/>
    <mergeCell ref="B1226:C1226"/>
    <mergeCell ref="B1230:C1230"/>
    <mergeCell ref="B1234:C1234"/>
    <mergeCell ref="B1238:C1238"/>
    <mergeCell ref="B1239:C1239"/>
    <mergeCell ref="B1240:C1240"/>
    <mergeCell ref="B1242:C1242"/>
    <mergeCell ref="B1246:C1246"/>
    <mergeCell ref="B1247:C1247"/>
    <mergeCell ref="B1248:C1248"/>
    <mergeCell ref="B1250:C1250"/>
    <mergeCell ref="B1251:C1251"/>
    <mergeCell ref="B1257:C1257"/>
    <mergeCell ref="B1258:C1258"/>
    <mergeCell ref="B1260:C1260"/>
    <mergeCell ref="B1262:C1262"/>
    <mergeCell ref="B1263:C1263"/>
    <mergeCell ref="B1266:C1266"/>
    <mergeCell ref="B1267:C1267"/>
    <mergeCell ref="B1270:C1270"/>
    <mergeCell ref="B1272:C1272"/>
    <mergeCell ref="B1273:C1273"/>
    <mergeCell ref="B1280:C1280"/>
    <mergeCell ref="B1281:C1281"/>
    <mergeCell ref="B1283:C1283"/>
    <mergeCell ref="B1284:C1284"/>
    <mergeCell ref="B1287:C1287"/>
    <mergeCell ref="B1290:C1290"/>
    <mergeCell ref="B1292:C1292"/>
    <mergeCell ref="B1293:C1293"/>
    <mergeCell ref="B1294:C1294"/>
    <mergeCell ref="B1298:C1298"/>
    <mergeCell ref="B1299:C1299"/>
    <mergeCell ref="B1301:C1301"/>
    <mergeCell ref="B1304:C1304"/>
    <mergeCell ref="B1305:C1305"/>
    <mergeCell ref="B1307:C1307"/>
    <mergeCell ref="B1309:C1309"/>
    <mergeCell ref="B1312:C1312"/>
    <mergeCell ref="B1313:C1313"/>
    <mergeCell ref="B178:C178"/>
    <mergeCell ref="B183:C183"/>
    <mergeCell ref="B189:C189"/>
    <mergeCell ref="B190:C190"/>
    <mergeCell ref="B193:C193"/>
    <mergeCell ref="B195:C195"/>
    <mergeCell ref="B196:C196"/>
    <mergeCell ref="B197:C197"/>
    <mergeCell ref="B208:C208"/>
    <mergeCell ref="B214:C214"/>
    <mergeCell ref="B216:C216"/>
    <mergeCell ref="B219:C219"/>
    <mergeCell ref="B226:C226"/>
    <mergeCell ref="B228:C228"/>
    <mergeCell ref="B3:C3"/>
    <mergeCell ref="B4:C4"/>
    <mergeCell ref="B6:C6"/>
    <mergeCell ref="B9:C9"/>
    <mergeCell ref="B17:C17"/>
    <mergeCell ref="B18:C18"/>
    <mergeCell ref="B19:C19"/>
    <mergeCell ref="B25:C25"/>
    <mergeCell ref="B28:C28"/>
    <mergeCell ref="B36:C36"/>
    <mergeCell ref="B37:C37"/>
    <mergeCell ref="B45:C45"/>
    <mergeCell ref="B47:C47"/>
    <mergeCell ref="B51:C51"/>
    <mergeCell ref="B52:C52"/>
    <mergeCell ref="B53:C53"/>
    <mergeCell ref="B60:C60"/>
    <mergeCell ref="B62:C62"/>
    <mergeCell ref="B63:C63"/>
    <mergeCell ref="B67:C67"/>
    <mergeCell ref="B68:C68"/>
    <mergeCell ref="B69:C69"/>
    <mergeCell ref="B77:C77"/>
    <mergeCell ref="B79:C79"/>
    <mergeCell ref="B82:C82"/>
    <mergeCell ref="B87:C87"/>
    <mergeCell ref="B91:C91"/>
    <mergeCell ref="B95:C95"/>
    <mergeCell ref="B101:C101"/>
    <mergeCell ref="B110:C110"/>
    <mergeCell ref="B118:C118"/>
    <mergeCell ref="B119:C119"/>
    <mergeCell ref="B123:C123"/>
    <mergeCell ref="B125:C125"/>
    <mergeCell ref="B134:C134"/>
    <mergeCell ref="B137:C137"/>
    <mergeCell ref="B147:C147"/>
    <mergeCell ref="B148:C148"/>
    <mergeCell ref="B164:C164"/>
    <mergeCell ref="B172:C172"/>
    <mergeCell ref="B173:C173"/>
    <mergeCell ref="B177:C177"/>
    <mergeCell ref="B231:C231"/>
    <mergeCell ref="B239:C239"/>
    <mergeCell ref="B243:C243"/>
    <mergeCell ref="B248:C248"/>
    <mergeCell ref="B249:C249"/>
    <mergeCell ref="B264:C264"/>
    <mergeCell ref="B267:C267"/>
    <mergeCell ref="B268:C268"/>
    <mergeCell ref="B276:C276"/>
    <mergeCell ref="B279:C279"/>
    <mergeCell ref="B285:C285"/>
    <mergeCell ref="B286:C286"/>
    <mergeCell ref="B287:C287"/>
    <mergeCell ref="B291:C291"/>
    <mergeCell ref="B292:C292"/>
    <mergeCell ref="B310:C310"/>
    <mergeCell ref="B311:C311"/>
    <mergeCell ref="B319:C319"/>
    <mergeCell ref="B320:C320"/>
    <mergeCell ref="B323:C323"/>
    <mergeCell ref="B329:C329"/>
    <mergeCell ref="B335:C335"/>
    <mergeCell ref="B337:C337"/>
    <mergeCell ref="B342:C342"/>
    <mergeCell ref="B343:C343"/>
    <mergeCell ref="B350:C350"/>
    <mergeCell ref="B352:C352"/>
    <mergeCell ref="B356:C356"/>
    <mergeCell ref="B357:C357"/>
    <mergeCell ref="B359:C359"/>
    <mergeCell ref="B362:C362"/>
    <mergeCell ref="B365:C365"/>
    <mergeCell ref="B366:C366"/>
    <mergeCell ref="B368:C368"/>
    <mergeCell ref="B371:C371"/>
    <mergeCell ref="B373:C373"/>
    <mergeCell ref="B375:C375"/>
    <mergeCell ref="B376:C376"/>
    <mergeCell ref="B389:C389"/>
    <mergeCell ref="B391:C391"/>
    <mergeCell ref="B397:C397"/>
    <mergeCell ref="B398:C398"/>
    <mergeCell ref="B404:C404"/>
    <mergeCell ref="B405:C405"/>
    <mergeCell ref="B406:C406"/>
    <mergeCell ref="B411:C411"/>
    <mergeCell ref="B425:C425"/>
    <mergeCell ref="B426:C426"/>
    <mergeCell ref="B433:C433"/>
    <mergeCell ref="B435:C435"/>
    <mergeCell ref="B438:C438"/>
    <mergeCell ref="B439:C439"/>
    <mergeCell ref="B444:C444"/>
    <mergeCell ref="B448:C448"/>
    <mergeCell ref="B449:C449"/>
    <mergeCell ref="B450:C450"/>
    <mergeCell ref="B456:C456"/>
    <mergeCell ref="B457:C457"/>
    <mergeCell ref="B459:C459"/>
    <mergeCell ref="B462:C462"/>
    <mergeCell ref="B464:C464"/>
    <mergeCell ref="B467:C467"/>
    <mergeCell ref="B468:C468"/>
    <mergeCell ref="B469:C469"/>
    <mergeCell ref="B473:C473"/>
    <mergeCell ref="B475:C475"/>
    <mergeCell ref="B476:C476"/>
    <mergeCell ref="B482:C482"/>
    <mergeCell ref="B483:C483"/>
    <mergeCell ref="B486:C486"/>
    <mergeCell ref="B490:C490"/>
    <mergeCell ref="B494:C494"/>
    <mergeCell ref="B495:C495"/>
    <mergeCell ref="B500:C500"/>
    <mergeCell ref="B502:C502"/>
    <mergeCell ref="B504:C504"/>
    <mergeCell ref="B506:C506"/>
    <mergeCell ref="B508:C508"/>
    <mergeCell ref="B512:C512"/>
    <mergeCell ref="B514:C514"/>
    <mergeCell ref="B517:C517"/>
    <mergeCell ref="B518:C518"/>
    <mergeCell ref="B522:C522"/>
    <mergeCell ref="B523:C523"/>
    <mergeCell ref="B525:C525"/>
    <mergeCell ref="B530:C530"/>
    <mergeCell ref="B531:C531"/>
    <mergeCell ref="B546:C546"/>
    <mergeCell ref="B554:C554"/>
    <mergeCell ref="B563:C563"/>
    <mergeCell ref="B568:C568"/>
    <mergeCell ref="B577:C577"/>
    <mergeCell ref="B581:C581"/>
    <mergeCell ref="B587:C587"/>
    <mergeCell ref="B588:C588"/>
    <mergeCell ref="B591:C591"/>
    <mergeCell ref="B594:C594"/>
    <mergeCell ref="B596:C596"/>
    <mergeCell ref="B611:C611"/>
    <mergeCell ref="B613:C613"/>
    <mergeCell ref="B623:C623"/>
    <mergeCell ref="B635:C635"/>
    <mergeCell ref="B636:C636"/>
    <mergeCell ref="B637:C637"/>
    <mergeCell ref="B641:C641"/>
    <mergeCell ref="B648:C648"/>
    <mergeCell ref="B649:C649"/>
    <mergeCell ref="B658:C658"/>
    <mergeCell ref="B659:C659"/>
    <mergeCell ref="B660:C660"/>
    <mergeCell ref="B662:C662"/>
    <mergeCell ref="B668:C668"/>
    <mergeCell ref="B670:C670"/>
    <mergeCell ref="B671:C671"/>
    <mergeCell ref="B672:C672"/>
    <mergeCell ref="B677:C677"/>
    <mergeCell ref="B681:C681"/>
    <mergeCell ref="B686:C686"/>
    <mergeCell ref="B689:C689"/>
    <mergeCell ref="B690:C690"/>
    <mergeCell ref="B694:C694"/>
    <mergeCell ref="B695:C695"/>
    <mergeCell ref="B697:C697"/>
    <mergeCell ref="B698:C698"/>
    <mergeCell ref="B700:C700"/>
    <mergeCell ref="B703:C703"/>
    <mergeCell ref="B704:C704"/>
    <mergeCell ref="B712:C712"/>
    <mergeCell ref="B715:C715"/>
    <mergeCell ref="B724:C724"/>
    <mergeCell ref="B726:C726"/>
    <mergeCell ref="B729:C729"/>
    <mergeCell ref="B730:C730"/>
    <mergeCell ref="B731:C731"/>
    <mergeCell ref="B732:C732"/>
    <mergeCell ref="B735:C735"/>
    <mergeCell ref="B741:C741"/>
    <mergeCell ref="B742:C742"/>
    <mergeCell ref="B743:C743"/>
    <mergeCell ref="B745:C745"/>
    <mergeCell ref="B749:C749"/>
    <mergeCell ref="B751:C751"/>
    <mergeCell ref="B753:C753"/>
    <mergeCell ref="B755:C755"/>
    <mergeCell ref="B756:C756"/>
    <mergeCell ref="B765:C765"/>
    <mergeCell ref="B768:C768"/>
    <mergeCell ref="B769:C769"/>
    <mergeCell ref="B770:C770"/>
    <mergeCell ref="B774:C774"/>
    <mergeCell ref="B775:C775"/>
    <mergeCell ref="B780:C780"/>
    <mergeCell ref="B781:C781"/>
    <mergeCell ref="B782:C782"/>
    <mergeCell ref="B898:C898"/>
    <mergeCell ref="B901:C901"/>
    <mergeCell ref="B903:C903"/>
    <mergeCell ref="B908:C908"/>
    <mergeCell ref="B914:C914"/>
    <mergeCell ref="B923:C923"/>
    <mergeCell ref="B932:C932"/>
    <mergeCell ref="B933:C933"/>
    <mergeCell ref="B936:C936"/>
    <mergeCell ref="B943:C943"/>
    <mergeCell ref="B944:C944"/>
    <mergeCell ref="B945:C945"/>
    <mergeCell ref="B947:C947"/>
    <mergeCell ref="B948:C948"/>
    <mergeCell ref="B783:C783"/>
    <mergeCell ref="B784:C784"/>
    <mergeCell ref="B788:C788"/>
    <mergeCell ref="B789:C789"/>
    <mergeCell ref="B790:C790"/>
    <mergeCell ref="B796:C796"/>
    <mergeCell ref="B799:C799"/>
    <mergeCell ref="B800:C800"/>
    <mergeCell ref="B801:C801"/>
    <mergeCell ref="B807:C807"/>
    <mergeCell ref="B810:C810"/>
    <mergeCell ref="B812:C812"/>
    <mergeCell ref="B814:C814"/>
    <mergeCell ref="B820:C820"/>
    <mergeCell ref="B823:C823"/>
    <mergeCell ref="B832:C832"/>
    <mergeCell ref="B835:C835"/>
    <mergeCell ref="B836:C836"/>
    <mergeCell ref="B837:C837"/>
    <mergeCell ref="B841:C841"/>
    <mergeCell ref="B844:C844"/>
    <mergeCell ref="B845:C845"/>
    <mergeCell ref="B847:C847"/>
    <mergeCell ref="B848:C848"/>
    <mergeCell ref="B854:C854"/>
    <mergeCell ref="B856:C856"/>
    <mergeCell ref="B857:C857"/>
    <mergeCell ref="B858:C858"/>
    <mergeCell ref="B862:C862"/>
    <mergeCell ref="B863:C863"/>
    <mergeCell ref="B867:C867"/>
    <mergeCell ref="B868:C868"/>
    <mergeCell ref="B870:C870"/>
    <mergeCell ref="B872:C872"/>
    <mergeCell ref="B874:C874"/>
    <mergeCell ref="B875:C875"/>
    <mergeCell ref="B881:C881"/>
    <mergeCell ref="B882:C882"/>
    <mergeCell ref="B884:C884"/>
    <mergeCell ref="B886:C886"/>
    <mergeCell ref="B889:C889"/>
    <mergeCell ref="B890:C890"/>
    <mergeCell ref="B950:C950"/>
    <mergeCell ref="B951:C951"/>
    <mergeCell ref="B953:C953"/>
    <mergeCell ref="B955:C955"/>
    <mergeCell ref="B956:C956"/>
    <mergeCell ref="B962:C962"/>
    <mergeCell ref="B964:C96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133</v>
      </c>
      <c r="B1" s="5" t="s">
        <v>134</v>
      </c>
      <c r="C1" s="5" t="s">
        <v>70</v>
      </c>
      <c r="D1" s="5" t="s">
        <v>135</v>
      </c>
      <c r="E1" s="5" t="s">
        <v>136</v>
      </c>
      <c r="F1" s="5" t="s">
        <v>69</v>
      </c>
      <c r="G1" s="5" t="s">
        <v>320</v>
      </c>
      <c r="H1" s="5" t="s">
        <v>321</v>
      </c>
      <c r="I1" s="5" t="s">
        <v>36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/>
      <c r="B2" s="40"/>
      <c r="C2" s="38"/>
      <c r="D2" s="38"/>
      <c r="E2" s="39"/>
      <c r="F2" s="38"/>
      <c r="G2" s="63"/>
      <c r="H2" s="38"/>
      <c r="I2" s="39"/>
    </row>
    <row r="3">
      <c r="A3" s="62"/>
      <c r="B3" s="40"/>
      <c r="C3" s="38"/>
      <c r="D3" s="38"/>
      <c r="E3" s="39"/>
      <c r="F3" s="38"/>
      <c r="G3" s="63"/>
      <c r="H3" s="38"/>
      <c r="I3" s="39"/>
    </row>
    <row r="4">
      <c r="A4" s="64"/>
      <c r="B4" s="20"/>
      <c r="C4" s="39"/>
      <c r="D4" s="39"/>
      <c r="E4" s="39"/>
      <c r="F4" s="39"/>
      <c r="G4" s="65"/>
      <c r="H4" s="39"/>
      <c r="I4" s="39"/>
    </row>
    <row r="5">
      <c r="A5" s="64"/>
      <c r="B5" s="20"/>
      <c r="C5" s="39"/>
      <c r="D5" s="39"/>
      <c r="E5" s="39"/>
      <c r="F5" s="39"/>
      <c r="G5" s="65"/>
      <c r="H5" s="39"/>
      <c r="I5" s="39"/>
    </row>
    <row r="6">
      <c r="A6" s="64"/>
      <c r="B6" s="20"/>
      <c r="C6" s="39"/>
      <c r="D6" s="39"/>
      <c r="E6" s="39"/>
      <c r="F6" s="39"/>
      <c r="G6" s="65"/>
      <c r="H6" s="39"/>
      <c r="I6" s="39"/>
    </row>
    <row r="7">
      <c r="A7" s="64"/>
      <c r="B7" s="20"/>
      <c r="C7" s="39"/>
      <c r="D7" s="39"/>
      <c r="E7" s="39"/>
      <c r="F7" s="39"/>
      <c r="G7" s="65"/>
      <c r="H7" s="39"/>
      <c r="I7" s="39"/>
    </row>
    <row r="8">
      <c r="A8" s="64"/>
      <c r="B8" s="20"/>
      <c r="C8" s="39"/>
      <c r="D8" s="39"/>
      <c r="E8" s="39"/>
      <c r="F8" s="39"/>
      <c r="G8" s="65"/>
      <c r="H8" s="39"/>
      <c r="I8" s="39"/>
    </row>
    <row r="9">
      <c r="A9" s="64"/>
      <c r="B9" s="20"/>
      <c r="C9" s="39"/>
      <c r="D9" s="39"/>
      <c r="E9" s="39"/>
      <c r="F9" s="39"/>
      <c r="G9" s="65"/>
      <c r="H9" s="39"/>
      <c r="I9" s="39"/>
    </row>
    <row r="10">
      <c r="A10" s="64"/>
      <c r="B10" s="20"/>
      <c r="C10" s="39"/>
      <c r="D10" s="39"/>
      <c r="E10" s="39"/>
      <c r="F10" s="39"/>
      <c r="G10" s="65"/>
      <c r="H10" s="39"/>
      <c r="I10" s="39"/>
    </row>
    <row r="11">
      <c r="A11" s="64"/>
      <c r="B11" s="20"/>
      <c r="C11" s="39"/>
      <c r="D11" s="39"/>
      <c r="E11" s="39"/>
      <c r="F11" s="39"/>
      <c r="G11" s="65"/>
      <c r="H11" s="39"/>
      <c r="I11" s="39"/>
    </row>
    <row r="12">
      <c r="A12" s="64"/>
      <c r="B12" s="20"/>
      <c r="C12" s="39"/>
      <c r="D12" s="39"/>
      <c r="E12" s="39"/>
      <c r="F12" s="39"/>
      <c r="G12" s="65"/>
      <c r="H12" s="39"/>
      <c r="I12" s="39"/>
    </row>
    <row r="13">
      <c r="A13" s="64"/>
      <c r="B13" s="20"/>
      <c r="C13" s="39"/>
      <c r="D13" s="39"/>
      <c r="E13" s="39"/>
      <c r="F13" s="39"/>
      <c r="G13" s="65"/>
      <c r="H13" s="39"/>
      <c r="I13" s="39"/>
    </row>
    <row r="14">
      <c r="A14" s="64"/>
      <c r="B14" s="20"/>
      <c r="C14" s="39"/>
      <c r="D14" s="39"/>
      <c r="E14" s="39"/>
      <c r="F14" s="39"/>
      <c r="G14" s="65"/>
      <c r="H14" s="39"/>
      <c r="I14" s="39"/>
    </row>
    <row r="15">
      <c r="A15" s="64"/>
      <c r="B15" s="20"/>
      <c r="C15" s="39"/>
      <c r="D15" s="39"/>
      <c r="E15" s="39"/>
      <c r="F15" s="39"/>
      <c r="G15" s="65"/>
      <c r="H15" s="39"/>
      <c r="I15" s="39"/>
    </row>
    <row r="16">
      <c r="A16" s="64"/>
      <c r="B16" s="20"/>
      <c r="C16" s="39"/>
      <c r="D16" s="39"/>
      <c r="E16" s="39"/>
      <c r="F16" s="39"/>
      <c r="G16" s="65"/>
      <c r="H16" s="39"/>
      <c r="I16" s="39"/>
    </row>
    <row r="17">
      <c r="A17" s="64"/>
      <c r="B17" s="20"/>
      <c r="C17" s="39"/>
      <c r="D17" s="39"/>
      <c r="E17" s="39"/>
      <c r="F17" s="39"/>
      <c r="G17" s="65"/>
      <c r="H17" s="39"/>
      <c r="I17" s="39"/>
    </row>
    <row r="18">
      <c r="A18" s="64"/>
      <c r="B18" s="20"/>
      <c r="C18" s="39"/>
      <c r="D18" s="39"/>
      <c r="E18" s="39"/>
      <c r="F18" s="39"/>
      <c r="G18" s="65"/>
      <c r="H18" s="39"/>
      <c r="I18" s="39"/>
    </row>
    <row r="19">
      <c r="A19" s="64"/>
      <c r="B19" s="20"/>
      <c r="C19" s="39"/>
      <c r="D19" s="39"/>
      <c r="E19" s="39"/>
      <c r="F19" s="39"/>
      <c r="G19" s="65"/>
      <c r="H19" s="39"/>
      <c r="I19" s="39"/>
    </row>
    <row r="20">
      <c r="A20" s="64"/>
      <c r="B20" s="20"/>
      <c r="C20" s="39"/>
      <c r="D20" s="39"/>
      <c r="E20" s="39"/>
      <c r="F20" s="39"/>
      <c r="G20" s="65"/>
      <c r="H20" s="39"/>
      <c r="I20" s="39"/>
    </row>
    <row r="21">
      <c r="A21" s="64"/>
      <c r="B21" s="20"/>
      <c r="C21" s="39"/>
      <c r="D21" s="39"/>
      <c r="E21" s="39"/>
      <c r="F21" s="39"/>
      <c r="G21" s="65"/>
      <c r="H21" s="39"/>
      <c r="I21" s="39"/>
    </row>
    <row r="22">
      <c r="A22" s="64"/>
      <c r="B22" s="20"/>
      <c r="C22" s="39"/>
      <c r="D22" s="39"/>
      <c r="E22" s="39"/>
      <c r="F22" s="39"/>
      <c r="G22" s="65"/>
      <c r="H22" s="39"/>
      <c r="I22" s="39"/>
    </row>
    <row r="23">
      <c r="A23" s="64"/>
      <c r="B23" s="20"/>
      <c r="C23" s="39"/>
      <c r="D23" s="39"/>
      <c r="E23" s="39"/>
      <c r="F23" s="39"/>
      <c r="G23" s="65"/>
      <c r="H23" s="39"/>
      <c r="I23" s="39"/>
    </row>
    <row r="24">
      <c r="A24" s="64"/>
      <c r="B24" s="20"/>
      <c r="C24" s="39"/>
      <c r="D24" s="39"/>
      <c r="E24" s="39"/>
      <c r="F24" s="39"/>
      <c r="G24" s="65"/>
      <c r="H24" s="39"/>
      <c r="I24" s="39"/>
    </row>
    <row r="25">
      <c r="A25" s="64"/>
      <c r="B25" s="20"/>
      <c r="C25" s="39"/>
      <c r="D25" s="39"/>
      <c r="E25" s="39"/>
      <c r="F25" s="39"/>
      <c r="G25" s="65"/>
      <c r="H25" s="39"/>
      <c r="I25" s="39"/>
    </row>
    <row r="26">
      <c r="A26" s="64"/>
      <c r="B26" s="20"/>
      <c r="C26" s="39"/>
      <c r="D26" s="39"/>
      <c r="E26" s="39"/>
      <c r="F26" s="39"/>
      <c r="G26" s="65"/>
      <c r="H26" s="39"/>
      <c r="I26" s="39"/>
    </row>
    <row r="27">
      <c r="A27" s="64"/>
      <c r="B27" s="20"/>
      <c r="C27" s="39"/>
      <c r="D27" s="39"/>
      <c r="E27" s="39"/>
      <c r="F27" s="39"/>
      <c r="G27" s="65"/>
      <c r="H27" s="39"/>
      <c r="I27" s="39"/>
    </row>
    <row r="28">
      <c r="A28" s="64"/>
      <c r="B28" s="20"/>
      <c r="C28" s="39"/>
      <c r="D28" s="39"/>
      <c r="E28" s="39"/>
      <c r="F28" s="39"/>
      <c r="G28" s="65"/>
      <c r="H28" s="39"/>
      <c r="I28" s="39"/>
    </row>
    <row r="29">
      <c r="A29" s="64"/>
      <c r="B29" s="20"/>
      <c r="C29" s="39"/>
      <c r="D29" s="39"/>
      <c r="E29" s="39"/>
      <c r="F29" s="39"/>
      <c r="G29" s="65"/>
      <c r="H29" s="39"/>
      <c r="I29" s="39"/>
    </row>
    <row r="30">
      <c r="A30" s="64"/>
      <c r="B30" s="20"/>
      <c r="C30" s="39"/>
      <c r="D30" s="39"/>
      <c r="E30" s="39"/>
      <c r="F30" s="39"/>
      <c r="G30" s="65"/>
      <c r="H30" s="39"/>
      <c r="I30" s="39"/>
    </row>
    <row r="31">
      <c r="A31" s="64"/>
      <c r="B31" s="20"/>
      <c r="C31" s="39"/>
      <c r="D31" s="39"/>
      <c r="E31" s="39"/>
      <c r="F31" s="39"/>
      <c r="G31" s="65"/>
      <c r="H31" s="39"/>
      <c r="I31" s="39"/>
    </row>
    <row r="32">
      <c r="A32" s="64"/>
      <c r="B32" s="20"/>
      <c r="C32" s="39"/>
      <c r="D32" s="39"/>
      <c r="E32" s="39"/>
      <c r="F32" s="39"/>
      <c r="G32" s="65"/>
      <c r="H32" s="39"/>
      <c r="I32" s="39"/>
    </row>
    <row r="33">
      <c r="A33" s="64"/>
      <c r="B33" s="20"/>
      <c r="C33" s="39"/>
      <c r="D33" s="39"/>
      <c r="E33" s="39"/>
      <c r="F33" s="39"/>
      <c r="G33" s="65"/>
      <c r="H33" s="39"/>
      <c r="I33" s="39"/>
    </row>
    <row r="34">
      <c r="A34" s="64"/>
      <c r="B34" s="20"/>
      <c r="C34" s="39"/>
      <c r="D34" s="39"/>
      <c r="E34" s="39"/>
      <c r="F34" s="39"/>
      <c r="G34" s="65"/>
      <c r="H34" s="39"/>
      <c r="I34" s="39"/>
    </row>
    <row r="35">
      <c r="A35" s="64"/>
      <c r="B35" s="20"/>
      <c r="C35" s="39"/>
      <c r="D35" s="39"/>
      <c r="E35" s="39"/>
      <c r="F35" s="39"/>
      <c r="G35" s="65"/>
      <c r="H35" s="39"/>
      <c r="I35" s="39"/>
    </row>
    <row r="36">
      <c r="A36" s="64"/>
      <c r="B36" s="20"/>
      <c r="C36" s="39"/>
      <c r="D36" s="39"/>
      <c r="E36" s="39"/>
      <c r="F36" s="39"/>
      <c r="G36" s="65"/>
      <c r="H36" s="39"/>
      <c r="I36" s="39"/>
    </row>
    <row r="37">
      <c r="A37" s="64"/>
      <c r="B37" s="20"/>
      <c r="C37" s="39"/>
      <c r="D37" s="39"/>
      <c r="E37" s="39"/>
      <c r="F37" s="39"/>
      <c r="G37" s="65"/>
      <c r="H37" s="39"/>
      <c r="I37" s="39"/>
    </row>
    <row r="38">
      <c r="A38" s="64"/>
      <c r="B38" s="20"/>
      <c r="C38" s="39"/>
      <c r="D38" s="39"/>
      <c r="E38" s="39"/>
      <c r="F38" s="39"/>
      <c r="G38" s="65"/>
      <c r="H38" s="39"/>
      <c r="I38" s="39"/>
    </row>
    <row r="39">
      <c r="A39" s="64"/>
      <c r="B39" s="20"/>
      <c r="C39" s="39"/>
      <c r="D39" s="39"/>
      <c r="E39" s="39"/>
      <c r="F39" s="39"/>
      <c r="G39" s="65"/>
      <c r="H39" s="39"/>
      <c r="I39" s="39"/>
    </row>
    <row r="40">
      <c r="A40" s="64"/>
      <c r="B40" s="20"/>
      <c r="C40" s="39"/>
      <c r="D40" s="39"/>
      <c r="E40" s="39"/>
      <c r="F40" s="39"/>
      <c r="G40" s="65"/>
      <c r="H40" s="39"/>
      <c r="I40" s="39"/>
    </row>
    <row r="41">
      <c r="A41" s="64"/>
      <c r="B41" s="20"/>
      <c r="C41" s="39"/>
      <c r="D41" s="39"/>
      <c r="E41" s="39"/>
      <c r="F41" s="39"/>
      <c r="G41" s="65"/>
      <c r="H41" s="39"/>
      <c r="I41" s="39"/>
    </row>
    <row r="42">
      <c r="A42" s="64"/>
      <c r="B42" s="20"/>
      <c r="C42" s="39"/>
      <c r="D42" s="39"/>
      <c r="E42" s="39"/>
      <c r="F42" s="39"/>
      <c r="G42" s="65"/>
      <c r="H42" s="39"/>
      <c r="I42" s="39"/>
    </row>
    <row r="43">
      <c r="A43" s="64"/>
      <c r="B43" s="20"/>
      <c r="C43" s="39"/>
      <c r="D43" s="39"/>
      <c r="E43" s="39"/>
      <c r="F43" s="39"/>
      <c r="G43" s="65"/>
      <c r="H43" s="39"/>
      <c r="I43" s="39"/>
    </row>
    <row r="44">
      <c r="A44" s="64"/>
      <c r="B44" s="20"/>
      <c r="C44" s="39"/>
      <c r="D44" s="39"/>
      <c r="E44" s="39"/>
      <c r="F44" s="39"/>
      <c r="G44" s="65"/>
      <c r="H44" s="39"/>
      <c r="I44" s="39"/>
    </row>
    <row r="45">
      <c r="A45" s="64"/>
      <c r="B45" s="20"/>
      <c r="C45" s="39"/>
      <c r="D45" s="39"/>
      <c r="E45" s="39"/>
      <c r="F45" s="39"/>
      <c r="G45" s="65"/>
      <c r="H45" s="39"/>
      <c r="I45" s="39"/>
    </row>
    <row r="46">
      <c r="A46" s="64"/>
      <c r="B46" s="20"/>
      <c r="C46" s="39"/>
      <c r="D46" s="39"/>
      <c r="E46" s="39"/>
      <c r="F46" s="39"/>
      <c r="G46" s="65"/>
      <c r="H46" s="39"/>
      <c r="I46" s="39"/>
    </row>
    <row r="47">
      <c r="A47" s="64"/>
      <c r="B47" s="20"/>
      <c r="C47" s="39"/>
      <c r="D47" s="39"/>
      <c r="E47" s="39"/>
      <c r="F47" s="39"/>
      <c r="G47" s="65"/>
      <c r="H47" s="39"/>
      <c r="I47" s="39"/>
    </row>
    <row r="48">
      <c r="A48" s="64"/>
      <c r="B48" s="20"/>
      <c r="C48" s="39"/>
      <c r="D48" s="39"/>
      <c r="E48" s="39"/>
      <c r="F48" s="39"/>
      <c r="G48" s="65"/>
      <c r="H48" s="39"/>
      <c r="I48" s="39"/>
    </row>
    <row r="49">
      <c r="A49" s="64"/>
      <c r="B49" s="20"/>
      <c r="C49" s="39"/>
      <c r="D49" s="39"/>
      <c r="E49" s="39"/>
      <c r="F49" s="39"/>
      <c r="G49" s="65"/>
      <c r="H49" s="39"/>
      <c r="I49" s="39"/>
    </row>
    <row r="50">
      <c r="A50" s="64"/>
      <c r="B50" s="20"/>
      <c r="C50" s="39"/>
      <c r="D50" s="39"/>
      <c r="E50" s="39"/>
      <c r="F50" s="39"/>
      <c r="G50" s="65"/>
      <c r="H50" s="39"/>
      <c r="I50" s="39"/>
    </row>
    <row r="51">
      <c r="A51" s="64"/>
      <c r="B51" s="20"/>
      <c r="C51" s="39"/>
      <c r="D51" s="39"/>
      <c r="E51" s="39"/>
      <c r="F51" s="39"/>
      <c r="G51" s="65"/>
      <c r="H51" s="39"/>
      <c r="I51" s="39"/>
    </row>
    <row r="52">
      <c r="A52" s="64"/>
      <c r="B52" s="20"/>
      <c r="C52" s="39"/>
      <c r="D52" s="39"/>
      <c r="E52" s="39"/>
      <c r="F52" s="39"/>
      <c r="G52" s="65"/>
      <c r="H52" s="39"/>
      <c r="I52" s="39"/>
    </row>
    <row r="53">
      <c r="A53" s="64"/>
      <c r="B53" s="20"/>
      <c r="C53" s="39"/>
      <c r="D53" s="39"/>
      <c r="E53" s="39"/>
      <c r="F53" s="39"/>
      <c r="G53" s="65"/>
      <c r="H53" s="39"/>
      <c r="I53" s="39"/>
    </row>
    <row r="54">
      <c r="A54" s="64"/>
      <c r="B54" s="20"/>
      <c r="C54" s="39"/>
      <c r="D54" s="39"/>
      <c r="E54" s="39"/>
      <c r="F54" s="39"/>
      <c r="G54" s="65"/>
      <c r="H54" s="39"/>
      <c r="I54" s="39"/>
    </row>
    <row r="55">
      <c r="A55" s="64"/>
      <c r="B55" s="20"/>
      <c r="C55" s="39"/>
      <c r="D55" s="39"/>
      <c r="E55" s="39"/>
      <c r="F55" s="39"/>
      <c r="G55" s="65"/>
      <c r="H55" s="39"/>
      <c r="I55" s="39"/>
    </row>
    <row r="56">
      <c r="A56" s="64"/>
      <c r="B56" s="20"/>
      <c r="C56" s="39"/>
      <c r="D56" s="39"/>
      <c r="E56" s="39"/>
      <c r="F56" s="39"/>
      <c r="G56" s="65"/>
      <c r="H56" s="39"/>
      <c r="I56" s="39"/>
    </row>
    <row r="57">
      <c r="A57" s="64"/>
      <c r="B57" s="20"/>
      <c r="C57" s="39"/>
      <c r="D57" s="39"/>
      <c r="E57" s="39"/>
      <c r="F57" s="39"/>
      <c r="G57" s="65"/>
      <c r="H57" s="39"/>
      <c r="I57" s="39"/>
    </row>
    <row r="58">
      <c r="A58" s="64"/>
      <c r="B58" s="20"/>
      <c r="C58" s="39"/>
      <c r="D58" s="39"/>
      <c r="E58" s="39"/>
      <c r="F58" s="39"/>
      <c r="G58" s="65"/>
      <c r="H58" s="39"/>
      <c r="I58" s="39"/>
    </row>
    <row r="59">
      <c r="A59" s="64"/>
      <c r="B59" s="20"/>
      <c r="C59" s="39"/>
      <c r="D59" s="39"/>
      <c r="E59" s="39"/>
      <c r="F59" s="39"/>
      <c r="G59" s="65"/>
      <c r="H59" s="39"/>
      <c r="I59" s="39"/>
    </row>
    <row r="60">
      <c r="A60" s="64"/>
      <c r="B60" s="20"/>
      <c r="C60" s="39"/>
      <c r="D60" s="39"/>
      <c r="E60" s="39"/>
      <c r="F60" s="39"/>
      <c r="G60" s="65"/>
      <c r="H60" s="39"/>
      <c r="I60" s="39"/>
    </row>
    <row r="61">
      <c r="A61" s="64"/>
      <c r="B61" s="20"/>
      <c r="C61" s="39"/>
      <c r="D61" s="39"/>
      <c r="E61" s="39"/>
      <c r="F61" s="39"/>
      <c r="G61" s="65"/>
      <c r="H61" s="39"/>
      <c r="I61" s="39"/>
    </row>
    <row r="62">
      <c r="A62" s="64"/>
      <c r="B62" s="20"/>
      <c r="C62" s="39"/>
      <c r="D62" s="39"/>
      <c r="E62" s="39"/>
      <c r="F62" s="39"/>
      <c r="G62" s="65"/>
      <c r="H62" s="39"/>
      <c r="I62" s="39"/>
    </row>
    <row r="63">
      <c r="A63" s="64"/>
      <c r="B63" s="20"/>
      <c r="C63" s="39"/>
      <c r="D63" s="39"/>
      <c r="E63" s="39"/>
      <c r="F63" s="39"/>
      <c r="G63" s="65"/>
      <c r="H63" s="39"/>
      <c r="I63" s="39"/>
    </row>
    <row r="64">
      <c r="A64" s="64"/>
      <c r="B64" s="20"/>
      <c r="C64" s="39"/>
      <c r="D64" s="39"/>
      <c r="E64" s="39"/>
      <c r="F64" s="39"/>
      <c r="G64" s="65"/>
      <c r="H64" s="39"/>
      <c r="I64" s="39"/>
    </row>
    <row r="65">
      <c r="A65" s="64"/>
      <c r="B65" s="20"/>
      <c r="C65" s="39"/>
      <c r="D65" s="39"/>
      <c r="E65" s="39"/>
      <c r="F65" s="39"/>
      <c r="G65" s="65"/>
      <c r="H65" s="39"/>
      <c r="I65" s="39"/>
    </row>
    <row r="66">
      <c r="A66" s="64"/>
      <c r="B66" s="20"/>
      <c r="C66" s="39"/>
      <c r="D66" s="39"/>
      <c r="E66" s="39"/>
      <c r="F66" s="39"/>
      <c r="G66" s="65"/>
      <c r="H66" s="39"/>
      <c r="I66" s="39"/>
    </row>
    <row r="67">
      <c r="A67" s="64"/>
      <c r="B67" s="20"/>
      <c r="C67" s="39"/>
      <c r="D67" s="39"/>
      <c r="E67" s="39"/>
      <c r="F67" s="39"/>
      <c r="G67" s="65"/>
      <c r="H67" s="39"/>
      <c r="I67" s="39"/>
    </row>
    <row r="68">
      <c r="A68" s="64"/>
      <c r="B68" s="20"/>
      <c r="C68" s="39"/>
      <c r="D68" s="39"/>
      <c r="E68" s="39"/>
      <c r="F68" s="39"/>
      <c r="G68" s="65"/>
      <c r="H68" s="39"/>
      <c r="I68" s="39"/>
    </row>
    <row r="69">
      <c r="A69" s="64"/>
      <c r="B69" s="20"/>
      <c r="C69" s="39"/>
      <c r="D69" s="39"/>
      <c r="E69" s="39"/>
      <c r="F69" s="39"/>
      <c r="G69" s="65"/>
      <c r="H69" s="39"/>
      <c r="I69" s="39"/>
    </row>
    <row r="70">
      <c r="A70" s="64"/>
      <c r="B70" s="20"/>
      <c r="C70" s="39"/>
      <c r="D70" s="39"/>
      <c r="E70" s="39"/>
      <c r="F70" s="39"/>
      <c r="G70" s="65"/>
      <c r="H70" s="39"/>
      <c r="I70" s="39"/>
    </row>
    <row r="71">
      <c r="A71" s="64"/>
      <c r="B71" s="20"/>
      <c r="C71" s="39"/>
      <c r="D71" s="39"/>
      <c r="E71" s="39"/>
      <c r="F71" s="39"/>
      <c r="G71" s="65"/>
      <c r="H71" s="39"/>
      <c r="I71" s="39"/>
    </row>
    <row r="72">
      <c r="A72" s="64"/>
      <c r="B72" s="20"/>
      <c r="C72" s="39"/>
      <c r="D72" s="39"/>
      <c r="E72" s="39"/>
      <c r="F72" s="39"/>
      <c r="G72" s="65"/>
      <c r="H72" s="39"/>
      <c r="I72" s="39"/>
    </row>
    <row r="73">
      <c r="A73" s="64"/>
      <c r="B73" s="20"/>
      <c r="C73" s="39"/>
      <c r="D73" s="39"/>
      <c r="E73" s="39"/>
      <c r="F73" s="39"/>
      <c r="G73" s="65"/>
      <c r="H73" s="39"/>
      <c r="I73" s="39"/>
    </row>
    <row r="74">
      <c r="A74" s="64"/>
      <c r="B74" s="20"/>
      <c r="C74" s="39"/>
      <c r="D74" s="39"/>
      <c r="E74" s="39"/>
      <c r="F74" s="39"/>
      <c r="G74" s="65"/>
      <c r="H74" s="39"/>
      <c r="I74" s="39"/>
    </row>
    <row r="75">
      <c r="A75" s="64"/>
      <c r="B75" s="20"/>
      <c r="C75" s="39"/>
      <c r="D75" s="39"/>
      <c r="E75" s="39"/>
      <c r="F75" s="39"/>
      <c r="G75" s="65"/>
      <c r="H75" s="39"/>
      <c r="I75" s="39"/>
    </row>
    <row r="76">
      <c r="A76" s="64"/>
      <c r="B76" s="20"/>
      <c r="C76" s="39"/>
      <c r="D76" s="39"/>
      <c r="E76" s="39"/>
      <c r="F76" s="39"/>
      <c r="G76" s="65"/>
      <c r="H76" s="39"/>
      <c r="I76" s="39"/>
    </row>
    <row r="77">
      <c r="A77" s="64"/>
      <c r="B77" s="20"/>
      <c r="C77" s="39"/>
      <c r="D77" s="39"/>
      <c r="E77" s="39"/>
      <c r="F77" s="39"/>
      <c r="G77" s="65"/>
      <c r="H77" s="39"/>
      <c r="I77" s="39"/>
    </row>
    <row r="78">
      <c r="A78" s="64"/>
      <c r="B78" s="20"/>
      <c r="C78" s="39"/>
      <c r="D78" s="39"/>
      <c r="E78" s="39"/>
      <c r="F78" s="39"/>
      <c r="G78" s="65"/>
      <c r="H78" s="39"/>
      <c r="I78" s="39"/>
    </row>
    <row r="79">
      <c r="A79" s="64"/>
      <c r="B79" s="20"/>
      <c r="C79" s="39"/>
      <c r="D79" s="39"/>
      <c r="E79" s="39"/>
      <c r="F79" s="39"/>
      <c r="G79" s="65"/>
      <c r="H79" s="39"/>
      <c r="I79" s="39"/>
    </row>
    <row r="80">
      <c r="A80" s="64"/>
      <c r="B80" s="20"/>
      <c r="C80" s="39"/>
      <c r="D80" s="39"/>
      <c r="E80" s="39"/>
      <c r="F80" s="39"/>
      <c r="G80" s="65"/>
      <c r="H80" s="39"/>
      <c r="I80" s="39"/>
    </row>
    <row r="81">
      <c r="A81" s="64"/>
      <c r="B81" s="20"/>
      <c r="C81" s="39"/>
      <c r="D81" s="39"/>
      <c r="E81" s="39"/>
      <c r="F81" s="39"/>
      <c r="G81" s="65"/>
      <c r="H81" s="39"/>
      <c r="I81" s="39"/>
    </row>
    <row r="82">
      <c r="A82" s="64"/>
      <c r="B82" s="20"/>
      <c r="C82" s="39"/>
      <c r="D82" s="39"/>
      <c r="E82" s="39"/>
      <c r="F82" s="39"/>
      <c r="G82" s="65"/>
      <c r="H82" s="39"/>
      <c r="I82" s="39"/>
    </row>
    <row r="83">
      <c r="A83" s="64"/>
      <c r="B83" s="20"/>
      <c r="C83" s="39"/>
      <c r="D83" s="39"/>
      <c r="E83" s="39"/>
      <c r="F83" s="39"/>
      <c r="G83" s="65"/>
      <c r="H83" s="39"/>
      <c r="I83" s="39"/>
    </row>
    <row r="84">
      <c r="A84" s="64"/>
      <c r="B84" s="20"/>
      <c r="C84" s="39"/>
      <c r="D84" s="39"/>
      <c r="E84" s="39"/>
      <c r="F84" s="39"/>
      <c r="G84" s="65"/>
      <c r="H84" s="39"/>
      <c r="I84" s="39"/>
    </row>
    <row r="85">
      <c r="A85" s="64"/>
      <c r="B85" s="20"/>
      <c r="C85" s="39"/>
      <c r="D85" s="39"/>
      <c r="E85" s="39"/>
      <c r="F85" s="39"/>
      <c r="G85" s="65"/>
      <c r="H85" s="39"/>
      <c r="I85" s="39"/>
    </row>
    <row r="86">
      <c r="A86" s="64"/>
      <c r="B86" s="20"/>
      <c r="C86" s="39"/>
      <c r="D86" s="39"/>
      <c r="E86" s="39"/>
      <c r="F86" s="39"/>
      <c r="G86" s="65"/>
      <c r="H86" s="39"/>
      <c r="I86" s="39"/>
    </row>
    <row r="87">
      <c r="A87" s="64"/>
      <c r="B87" s="20"/>
      <c r="C87" s="39"/>
      <c r="D87" s="39"/>
      <c r="E87" s="39"/>
      <c r="F87" s="39"/>
      <c r="G87" s="65"/>
      <c r="H87" s="39"/>
      <c r="I87" s="39"/>
    </row>
    <row r="88">
      <c r="A88" s="64"/>
      <c r="B88" s="20"/>
      <c r="C88" s="39"/>
      <c r="D88" s="39"/>
      <c r="E88" s="39"/>
      <c r="F88" s="39"/>
      <c r="G88" s="65"/>
      <c r="H88" s="39"/>
      <c r="I88" s="39"/>
    </row>
    <row r="89">
      <c r="A89" s="64"/>
      <c r="B89" s="20"/>
      <c r="C89" s="39"/>
      <c r="D89" s="39"/>
      <c r="E89" s="39"/>
      <c r="F89" s="39"/>
      <c r="G89" s="65"/>
      <c r="H89" s="39"/>
      <c r="I89" s="39"/>
    </row>
    <row r="90">
      <c r="A90" s="64"/>
      <c r="B90" s="20"/>
      <c r="C90" s="39"/>
      <c r="D90" s="39"/>
      <c r="E90" s="39"/>
      <c r="F90" s="39"/>
      <c r="G90" s="65"/>
      <c r="H90" s="39"/>
      <c r="I90" s="39"/>
    </row>
    <row r="91">
      <c r="A91" s="64"/>
      <c r="B91" s="20"/>
      <c r="C91" s="39"/>
      <c r="D91" s="39"/>
      <c r="E91" s="39"/>
      <c r="F91" s="39"/>
      <c r="G91" s="65"/>
      <c r="H91" s="39"/>
      <c r="I91" s="39"/>
    </row>
    <row r="92">
      <c r="A92" s="64"/>
      <c r="B92" s="20"/>
      <c r="C92" s="39"/>
      <c r="D92" s="39"/>
      <c r="E92" s="39"/>
      <c r="F92" s="39"/>
      <c r="G92" s="65"/>
      <c r="H92" s="39"/>
      <c r="I92" s="39"/>
    </row>
    <row r="93">
      <c r="A93" s="64"/>
      <c r="B93" s="20"/>
      <c r="C93" s="39"/>
      <c r="D93" s="39"/>
      <c r="E93" s="39"/>
      <c r="F93" s="39"/>
      <c r="G93" s="65"/>
      <c r="H93" s="39"/>
      <c r="I93" s="39"/>
    </row>
    <row r="94">
      <c r="A94" s="64"/>
      <c r="B94" s="20"/>
      <c r="C94" s="39"/>
      <c r="D94" s="39"/>
      <c r="E94" s="39"/>
      <c r="F94" s="39"/>
      <c r="G94" s="65"/>
      <c r="H94" s="39"/>
      <c r="I94" s="39"/>
    </row>
    <row r="95">
      <c r="A95" s="64"/>
      <c r="B95" s="20"/>
      <c r="C95" s="39"/>
      <c r="D95" s="39"/>
      <c r="E95" s="39"/>
      <c r="F95" s="39"/>
      <c r="G95" s="65"/>
      <c r="H95" s="39"/>
      <c r="I95" s="39"/>
    </row>
    <row r="96">
      <c r="A96" s="64"/>
      <c r="B96" s="20"/>
      <c r="C96" s="39"/>
      <c r="D96" s="39"/>
      <c r="E96" s="39"/>
      <c r="F96" s="39"/>
      <c r="G96" s="65"/>
      <c r="H96" s="39"/>
      <c r="I96" s="39"/>
    </row>
    <row r="97">
      <c r="A97" s="64"/>
      <c r="B97" s="20"/>
      <c r="C97" s="39"/>
      <c r="D97" s="39"/>
      <c r="E97" s="39"/>
      <c r="F97" s="39"/>
      <c r="G97" s="65"/>
      <c r="H97" s="39"/>
      <c r="I97" s="39"/>
    </row>
    <row r="98">
      <c r="A98" s="64"/>
      <c r="B98" s="20"/>
      <c r="C98" s="39"/>
      <c r="D98" s="39"/>
      <c r="E98" s="39"/>
      <c r="F98" s="39"/>
      <c r="G98" s="65"/>
      <c r="H98" s="39"/>
      <c r="I98" s="39"/>
    </row>
    <row r="99">
      <c r="A99" s="64"/>
      <c r="B99" s="20"/>
      <c r="C99" s="39"/>
      <c r="D99" s="39"/>
      <c r="E99" s="39"/>
      <c r="F99" s="39"/>
      <c r="G99" s="65"/>
      <c r="H99" s="39"/>
      <c r="I99" s="39"/>
    </row>
    <row r="100">
      <c r="A100" s="64"/>
      <c r="B100" s="20"/>
      <c r="C100" s="39"/>
      <c r="D100" s="39"/>
      <c r="E100" s="39"/>
      <c r="F100" s="39"/>
      <c r="G100" s="65"/>
      <c r="H100" s="39"/>
      <c r="I100" s="39"/>
    </row>
    <row r="101">
      <c r="A101" s="64"/>
      <c r="B101" s="20"/>
      <c r="C101" s="39"/>
      <c r="D101" s="39"/>
      <c r="E101" s="39"/>
      <c r="F101" s="39"/>
      <c r="G101" s="65"/>
      <c r="H101" s="39"/>
      <c r="I101" s="39"/>
    </row>
    <row r="102">
      <c r="A102" s="64"/>
      <c r="B102" s="20"/>
      <c r="C102" s="39"/>
      <c r="D102" s="39"/>
      <c r="E102" s="39"/>
      <c r="F102" s="39"/>
      <c r="G102" s="65"/>
      <c r="H102" s="39"/>
      <c r="I102" s="39"/>
    </row>
    <row r="103">
      <c r="A103" s="64"/>
      <c r="B103" s="20"/>
      <c r="C103" s="39"/>
      <c r="D103" s="39"/>
      <c r="E103" s="39"/>
      <c r="F103" s="39"/>
      <c r="G103" s="65"/>
      <c r="H103" s="39"/>
      <c r="I103" s="39"/>
    </row>
    <row r="104">
      <c r="A104" s="64"/>
      <c r="B104" s="20"/>
      <c r="C104" s="39"/>
      <c r="D104" s="39"/>
      <c r="E104" s="39"/>
      <c r="F104" s="39"/>
      <c r="G104" s="65"/>
      <c r="H104" s="39"/>
      <c r="I104" s="39"/>
    </row>
    <row r="105">
      <c r="A105" s="64"/>
      <c r="B105" s="20"/>
      <c r="C105" s="39"/>
      <c r="D105" s="39"/>
      <c r="E105" s="39"/>
      <c r="F105" s="39"/>
      <c r="G105" s="65"/>
      <c r="H105" s="39"/>
      <c r="I105" s="39"/>
    </row>
    <row r="106">
      <c r="A106" s="64"/>
      <c r="B106" s="20"/>
      <c r="C106" s="39"/>
      <c r="D106" s="39"/>
      <c r="E106" s="39"/>
      <c r="F106" s="39"/>
      <c r="G106" s="65"/>
      <c r="H106" s="39"/>
      <c r="I106" s="39"/>
    </row>
    <row r="107">
      <c r="A107" s="64"/>
      <c r="B107" s="20"/>
      <c r="C107" s="39"/>
      <c r="D107" s="39"/>
      <c r="E107" s="39"/>
      <c r="F107" s="39"/>
      <c r="G107" s="65"/>
      <c r="H107" s="39"/>
      <c r="I107" s="39"/>
    </row>
    <row r="108">
      <c r="A108" s="64"/>
      <c r="B108" s="20"/>
      <c r="C108" s="39"/>
      <c r="D108" s="39"/>
      <c r="E108" s="39"/>
      <c r="F108" s="39"/>
      <c r="G108" s="65"/>
      <c r="H108" s="39"/>
      <c r="I108" s="39"/>
    </row>
    <row r="109">
      <c r="A109" s="64"/>
      <c r="B109" s="20"/>
      <c r="C109" s="39"/>
      <c r="D109" s="39"/>
      <c r="E109" s="39"/>
      <c r="F109" s="39"/>
      <c r="G109" s="65"/>
      <c r="H109" s="39"/>
      <c r="I109" s="39"/>
    </row>
    <row r="110">
      <c r="A110" s="64"/>
      <c r="B110" s="20"/>
      <c r="C110" s="39"/>
      <c r="D110" s="39"/>
      <c r="E110" s="39"/>
      <c r="F110" s="39"/>
      <c r="G110" s="65"/>
      <c r="H110" s="39"/>
      <c r="I110" s="39"/>
    </row>
    <row r="111">
      <c r="A111" s="64"/>
      <c r="B111" s="20"/>
      <c r="C111" s="39"/>
      <c r="D111" s="39"/>
      <c r="E111" s="39"/>
      <c r="F111" s="39"/>
      <c r="G111" s="65"/>
      <c r="H111" s="39"/>
      <c r="I111" s="39"/>
    </row>
    <row r="112">
      <c r="A112" s="64"/>
      <c r="B112" s="20"/>
      <c r="C112" s="39"/>
      <c r="D112" s="39"/>
      <c r="E112" s="39"/>
      <c r="F112" s="39"/>
      <c r="G112" s="65"/>
      <c r="H112" s="39"/>
      <c r="I112" s="39"/>
    </row>
    <row r="113">
      <c r="A113" s="64"/>
      <c r="B113" s="20"/>
      <c r="C113" s="39"/>
      <c r="D113" s="39"/>
      <c r="E113" s="39"/>
      <c r="F113" s="39"/>
      <c r="G113" s="65"/>
      <c r="H113" s="39"/>
      <c r="I113" s="39"/>
    </row>
    <row r="114">
      <c r="A114" s="64"/>
      <c r="B114" s="20"/>
      <c r="C114" s="39"/>
      <c r="D114" s="39"/>
      <c r="E114" s="39"/>
      <c r="F114" s="39"/>
      <c r="G114" s="65"/>
      <c r="H114" s="39"/>
      <c r="I114" s="39"/>
    </row>
    <row r="115">
      <c r="A115" s="64"/>
      <c r="B115" s="20"/>
      <c r="C115" s="39"/>
      <c r="D115" s="39"/>
      <c r="E115" s="39"/>
      <c r="F115" s="39"/>
      <c r="G115" s="65"/>
      <c r="H115" s="39"/>
      <c r="I115" s="39"/>
    </row>
    <row r="116">
      <c r="A116" s="64"/>
      <c r="B116" s="20"/>
      <c r="C116" s="39"/>
      <c r="D116" s="39"/>
      <c r="E116" s="39"/>
      <c r="F116" s="39"/>
      <c r="G116" s="65"/>
      <c r="H116" s="39"/>
      <c r="I116" s="39"/>
    </row>
    <row r="117">
      <c r="A117" s="64"/>
      <c r="B117" s="20"/>
      <c r="C117" s="39"/>
      <c r="D117" s="39"/>
      <c r="E117" s="39"/>
      <c r="F117" s="39"/>
      <c r="G117" s="65"/>
      <c r="H117" s="39"/>
      <c r="I117" s="39"/>
    </row>
    <row r="118">
      <c r="A118" s="64"/>
      <c r="B118" s="20"/>
      <c r="C118" s="39"/>
      <c r="D118" s="39"/>
      <c r="E118" s="39"/>
      <c r="F118" s="39"/>
      <c r="G118" s="65"/>
      <c r="H118" s="39"/>
      <c r="I118" s="39"/>
    </row>
    <row r="119">
      <c r="A119" s="64"/>
      <c r="B119" s="20"/>
      <c r="C119" s="39"/>
      <c r="D119" s="39"/>
      <c r="E119" s="39"/>
      <c r="F119" s="39"/>
      <c r="G119" s="65"/>
      <c r="H119" s="39"/>
      <c r="I119" s="39"/>
    </row>
    <row r="120">
      <c r="A120" s="64"/>
      <c r="B120" s="20"/>
      <c r="C120" s="39"/>
      <c r="D120" s="39"/>
      <c r="E120" s="39"/>
      <c r="F120" s="39"/>
      <c r="G120" s="65"/>
      <c r="H120" s="39"/>
      <c r="I120" s="39"/>
    </row>
    <row r="121">
      <c r="A121" s="64"/>
      <c r="B121" s="20"/>
      <c r="C121" s="39"/>
      <c r="D121" s="39"/>
      <c r="E121" s="39"/>
      <c r="F121" s="39"/>
      <c r="G121" s="65"/>
      <c r="H121" s="39"/>
      <c r="I121" s="39"/>
    </row>
    <row r="122">
      <c r="A122" s="64"/>
      <c r="B122" s="20"/>
      <c r="C122" s="39"/>
      <c r="D122" s="39"/>
      <c r="E122" s="39"/>
      <c r="F122" s="39"/>
      <c r="G122" s="65"/>
      <c r="H122" s="39"/>
      <c r="I122" s="39"/>
    </row>
    <row r="123">
      <c r="A123" s="64"/>
      <c r="B123" s="20"/>
      <c r="C123" s="39"/>
      <c r="D123" s="39"/>
      <c r="E123" s="39"/>
      <c r="F123" s="39"/>
      <c r="G123" s="65"/>
      <c r="H123" s="39"/>
      <c r="I123" s="39"/>
    </row>
    <row r="124">
      <c r="A124" s="64"/>
      <c r="B124" s="20"/>
      <c r="C124" s="39"/>
      <c r="D124" s="39"/>
      <c r="E124" s="39"/>
      <c r="F124" s="39"/>
      <c r="G124" s="65"/>
      <c r="H124" s="39"/>
      <c r="I124" s="39"/>
    </row>
    <row r="125">
      <c r="A125" s="64"/>
      <c r="B125" s="20"/>
      <c r="C125" s="39"/>
      <c r="D125" s="39"/>
      <c r="E125" s="39"/>
      <c r="F125" s="39"/>
      <c r="G125" s="65"/>
      <c r="H125" s="39"/>
      <c r="I125" s="39"/>
    </row>
    <row r="126">
      <c r="A126" s="64"/>
      <c r="B126" s="20"/>
      <c r="C126" s="39"/>
      <c r="D126" s="39"/>
      <c r="E126" s="39"/>
      <c r="F126" s="39"/>
      <c r="G126" s="65"/>
      <c r="H126" s="39"/>
      <c r="I126" s="39"/>
    </row>
    <row r="127">
      <c r="A127" s="64"/>
      <c r="B127" s="20"/>
      <c r="C127" s="39"/>
      <c r="D127" s="39"/>
      <c r="E127" s="39"/>
      <c r="F127" s="39"/>
      <c r="G127" s="65"/>
      <c r="H127" s="39"/>
      <c r="I127" s="39"/>
    </row>
    <row r="128">
      <c r="A128" s="64"/>
      <c r="B128" s="20"/>
      <c r="C128" s="39"/>
      <c r="D128" s="39"/>
      <c r="E128" s="39"/>
      <c r="F128" s="39"/>
      <c r="G128" s="65"/>
      <c r="H128" s="39"/>
      <c r="I128" s="39"/>
    </row>
    <row r="129">
      <c r="A129" s="64"/>
      <c r="B129" s="20"/>
      <c r="C129" s="39"/>
      <c r="D129" s="39"/>
      <c r="E129" s="39"/>
      <c r="F129" s="39"/>
      <c r="G129" s="65"/>
      <c r="H129" s="39"/>
      <c r="I129" s="39"/>
    </row>
    <row r="130">
      <c r="A130" s="64"/>
      <c r="B130" s="20"/>
      <c r="C130" s="39"/>
      <c r="D130" s="39"/>
      <c r="E130" s="39"/>
      <c r="F130" s="39"/>
      <c r="G130" s="65"/>
      <c r="H130" s="39"/>
      <c r="I130" s="39"/>
    </row>
    <row r="131">
      <c r="A131" s="64"/>
      <c r="B131" s="20"/>
      <c r="C131" s="39"/>
      <c r="D131" s="39"/>
      <c r="E131" s="39"/>
      <c r="F131" s="39"/>
      <c r="G131" s="65"/>
      <c r="H131" s="39"/>
      <c r="I131" s="39"/>
    </row>
    <row r="132">
      <c r="A132" s="64"/>
      <c r="B132" s="20"/>
      <c r="C132" s="39"/>
      <c r="D132" s="39"/>
      <c r="E132" s="39"/>
      <c r="F132" s="39"/>
      <c r="G132" s="65"/>
      <c r="H132" s="39"/>
      <c r="I132" s="39"/>
    </row>
    <row r="133">
      <c r="A133" s="64"/>
      <c r="B133" s="20"/>
      <c r="C133" s="39"/>
      <c r="D133" s="39"/>
      <c r="E133" s="39"/>
      <c r="F133" s="39"/>
      <c r="G133" s="65"/>
      <c r="H133" s="39"/>
      <c r="I133" s="39"/>
    </row>
    <row r="134">
      <c r="A134" s="64"/>
      <c r="B134" s="20"/>
      <c r="C134" s="39"/>
      <c r="D134" s="39"/>
      <c r="E134" s="39"/>
      <c r="F134" s="39"/>
      <c r="G134" s="65"/>
      <c r="H134" s="39"/>
      <c r="I134" s="39"/>
    </row>
    <row r="135">
      <c r="A135" s="64"/>
      <c r="B135" s="20"/>
      <c r="C135" s="39"/>
      <c r="D135" s="39"/>
      <c r="E135" s="39"/>
      <c r="F135" s="39"/>
      <c r="G135" s="65"/>
      <c r="H135" s="39"/>
      <c r="I135" s="39"/>
    </row>
    <row r="136">
      <c r="A136" s="64"/>
      <c r="B136" s="20"/>
      <c r="C136" s="39"/>
      <c r="D136" s="39"/>
      <c r="E136" s="39"/>
      <c r="F136" s="39"/>
      <c r="G136" s="65"/>
      <c r="H136" s="39"/>
      <c r="I136" s="39"/>
    </row>
    <row r="137">
      <c r="A137" s="64"/>
      <c r="B137" s="20"/>
      <c r="C137" s="39"/>
      <c r="D137" s="39"/>
      <c r="E137" s="39"/>
      <c r="F137" s="39"/>
      <c r="G137" s="65"/>
      <c r="H137" s="39"/>
      <c r="I137" s="39"/>
    </row>
    <row r="138">
      <c r="A138" s="64"/>
      <c r="B138" s="20"/>
      <c r="C138" s="39"/>
      <c r="D138" s="39"/>
      <c r="E138" s="39"/>
      <c r="F138" s="39"/>
      <c r="G138" s="65"/>
      <c r="H138" s="39"/>
      <c r="I138" s="39"/>
    </row>
    <row r="139">
      <c r="A139" s="64"/>
      <c r="B139" s="20"/>
      <c r="C139" s="39"/>
      <c r="D139" s="39"/>
      <c r="E139" s="39"/>
      <c r="F139" s="39"/>
      <c r="G139" s="65"/>
      <c r="H139" s="39"/>
      <c r="I139" s="39"/>
    </row>
    <row r="140">
      <c r="A140" s="64"/>
      <c r="B140" s="20"/>
      <c r="C140" s="39"/>
      <c r="D140" s="39"/>
      <c r="E140" s="39"/>
      <c r="F140" s="39"/>
      <c r="G140" s="65"/>
      <c r="H140" s="39"/>
      <c r="I140" s="39"/>
    </row>
    <row r="141">
      <c r="A141" s="64"/>
      <c r="B141" s="20"/>
      <c r="C141" s="39"/>
      <c r="D141" s="39"/>
      <c r="E141" s="39"/>
      <c r="F141" s="39"/>
      <c r="G141" s="65"/>
      <c r="H141" s="39"/>
      <c r="I141" s="39"/>
    </row>
    <row r="142">
      <c r="A142" s="64"/>
      <c r="B142" s="20"/>
      <c r="C142" s="39"/>
      <c r="D142" s="39"/>
      <c r="E142" s="39"/>
      <c r="F142" s="39"/>
      <c r="G142" s="65"/>
      <c r="H142" s="39"/>
      <c r="I142" s="39"/>
    </row>
    <row r="143">
      <c r="A143" s="64"/>
      <c r="B143" s="20"/>
      <c r="C143" s="39"/>
      <c r="D143" s="39"/>
      <c r="E143" s="39"/>
      <c r="F143" s="39"/>
      <c r="G143" s="65"/>
      <c r="H143" s="39"/>
      <c r="I143" s="39"/>
    </row>
    <row r="144">
      <c r="A144" s="64"/>
      <c r="B144" s="20"/>
      <c r="C144" s="39"/>
      <c r="D144" s="39"/>
      <c r="E144" s="39"/>
      <c r="F144" s="39"/>
      <c r="G144" s="65"/>
      <c r="H144" s="39"/>
      <c r="I144" s="39"/>
    </row>
    <row r="145">
      <c r="A145" s="64"/>
      <c r="B145" s="20"/>
      <c r="C145" s="39"/>
      <c r="D145" s="39"/>
      <c r="E145" s="39"/>
      <c r="F145" s="39"/>
      <c r="G145" s="65"/>
      <c r="H145" s="39"/>
      <c r="I145" s="39"/>
    </row>
    <row r="146">
      <c r="A146" s="64"/>
      <c r="B146" s="20"/>
      <c r="C146" s="39"/>
      <c r="D146" s="39"/>
      <c r="E146" s="39"/>
      <c r="F146" s="39"/>
      <c r="G146" s="65"/>
      <c r="H146" s="39"/>
      <c r="I146" s="39"/>
    </row>
    <row r="147">
      <c r="A147" s="64"/>
      <c r="B147" s="20"/>
      <c r="C147" s="39"/>
      <c r="D147" s="39"/>
      <c r="E147" s="39"/>
      <c r="F147" s="39"/>
      <c r="G147" s="65"/>
      <c r="H147" s="39"/>
      <c r="I147" s="39"/>
    </row>
    <row r="148">
      <c r="A148" s="64"/>
      <c r="B148" s="20"/>
      <c r="C148" s="39"/>
      <c r="D148" s="39"/>
      <c r="E148" s="39"/>
      <c r="F148" s="39"/>
      <c r="G148" s="65"/>
      <c r="H148" s="39"/>
      <c r="I148" s="39"/>
    </row>
    <row r="149">
      <c r="A149" s="64"/>
      <c r="B149" s="20"/>
      <c r="C149" s="39"/>
      <c r="D149" s="39"/>
      <c r="E149" s="39"/>
      <c r="F149" s="39"/>
      <c r="G149" s="65"/>
      <c r="H149" s="39"/>
      <c r="I149" s="39"/>
    </row>
    <row r="150">
      <c r="A150" s="64"/>
      <c r="B150" s="20"/>
      <c r="C150" s="39"/>
      <c r="D150" s="39"/>
      <c r="E150" s="39"/>
      <c r="F150" s="39"/>
      <c r="G150" s="65"/>
      <c r="H150" s="39"/>
      <c r="I150" s="39"/>
    </row>
    <row r="151">
      <c r="A151" s="64"/>
      <c r="B151" s="20"/>
      <c r="C151" s="39"/>
      <c r="D151" s="39"/>
      <c r="E151" s="39"/>
      <c r="F151" s="39"/>
      <c r="G151" s="65"/>
      <c r="H151" s="39"/>
      <c r="I151" s="39"/>
    </row>
    <row r="152">
      <c r="A152" s="64"/>
      <c r="B152" s="20"/>
      <c r="C152" s="39"/>
      <c r="D152" s="39"/>
      <c r="E152" s="39"/>
      <c r="F152" s="39"/>
      <c r="G152" s="65"/>
      <c r="H152" s="39"/>
      <c r="I152" s="39"/>
    </row>
    <row r="153">
      <c r="A153" s="64"/>
      <c r="B153" s="20"/>
      <c r="C153" s="39"/>
      <c r="D153" s="39"/>
      <c r="E153" s="39"/>
      <c r="F153" s="39"/>
      <c r="G153" s="65"/>
      <c r="H153" s="39"/>
      <c r="I153" s="39"/>
    </row>
    <row r="154">
      <c r="A154" s="64"/>
      <c r="B154" s="20"/>
      <c r="C154" s="39"/>
      <c r="D154" s="39"/>
      <c r="E154" s="39"/>
      <c r="F154" s="39"/>
      <c r="G154" s="65"/>
      <c r="H154" s="39"/>
      <c r="I154" s="39"/>
    </row>
    <row r="155">
      <c r="A155" s="64"/>
      <c r="B155" s="20"/>
      <c r="C155" s="39"/>
      <c r="D155" s="39"/>
      <c r="E155" s="39"/>
      <c r="F155" s="39"/>
      <c r="G155" s="65"/>
      <c r="H155" s="39"/>
      <c r="I155" s="39"/>
    </row>
    <row r="156">
      <c r="A156" s="64"/>
      <c r="B156" s="20"/>
      <c r="C156" s="39"/>
      <c r="D156" s="39"/>
      <c r="E156" s="39"/>
      <c r="F156" s="39"/>
      <c r="G156" s="65"/>
      <c r="H156" s="39"/>
      <c r="I156" s="39"/>
    </row>
    <row r="157">
      <c r="A157" s="64"/>
      <c r="B157" s="20"/>
      <c r="C157" s="39"/>
      <c r="D157" s="39"/>
      <c r="E157" s="39"/>
      <c r="F157" s="39"/>
      <c r="G157" s="65"/>
      <c r="H157" s="39"/>
      <c r="I157" s="39"/>
    </row>
    <row r="158">
      <c r="A158" s="64"/>
      <c r="B158" s="20"/>
      <c r="C158" s="39"/>
      <c r="D158" s="39"/>
      <c r="E158" s="39"/>
      <c r="F158" s="39"/>
      <c r="G158" s="65"/>
      <c r="H158" s="39"/>
      <c r="I158" s="39"/>
    </row>
    <row r="159">
      <c r="A159" s="64"/>
      <c r="B159" s="20"/>
      <c r="C159" s="39"/>
      <c r="D159" s="39"/>
      <c r="E159" s="39"/>
      <c r="F159" s="39"/>
      <c r="G159" s="65"/>
      <c r="H159" s="39"/>
      <c r="I159" s="39"/>
    </row>
    <row r="160">
      <c r="A160" s="64"/>
      <c r="B160" s="20"/>
      <c r="C160" s="39"/>
      <c r="D160" s="39"/>
      <c r="E160" s="39"/>
      <c r="F160" s="39"/>
      <c r="G160" s="65"/>
      <c r="H160" s="39"/>
      <c r="I160" s="39"/>
    </row>
    <row r="161">
      <c r="A161" s="64"/>
      <c r="B161" s="20"/>
      <c r="C161" s="39"/>
      <c r="D161" s="39"/>
      <c r="E161" s="39"/>
      <c r="F161" s="39"/>
      <c r="G161" s="65"/>
      <c r="H161" s="39"/>
      <c r="I161" s="39"/>
    </row>
    <row r="162">
      <c r="A162" s="64"/>
      <c r="B162" s="20"/>
      <c r="C162" s="39"/>
      <c r="D162" s="39"/>
      <c r="E162" s="39"/>
      <c r="F162" s="39"/>
      <c r="G162" s="65"/>
      <c r="H162" s="39"/>
      <c r="I162" s="39"/>
    </row>
    <row r="163">
      <c r="A163" s="64"/>
      <c r="B163" s="20"/>
      <c r="C163" s="39"/>
      <c r="D163" s="39"/>
      <c r="E163" s="39"/>
      <c r="F163" s="39"/>
      <c r="G163" s="65"/>
      <c r="H163" s="39"/>
      <c r="I163" s="39"/>
    </row>
    <row r="164">
      <c r="A164" s="64"/>
      <c r="B164" s="20"/>
      <c r="C164" s="39"/>
      <c r="D164" s="39"/>
      <c r="E164" s="39"/>
      <c r="F164" s="39"/>
      <c r="G164" s="65"/>
      <c r="H164" s="39"/>
      <c r="I164" s="39"/>
    </row>
    <row r="165">
      <c r="A165" s="64"/>
      <c r="B165" s="20"/>
      <c r="C165" s="39"/>
      <c r="D165" s="39"/>
      <c r="E165" s="39"/>
      <c r="F165" s="39"/>
      <c r="G165" s="65"/>
      <c r="H165" s="39"/>
      <c r="I165" s="39"/>
    </row>
    <row r="166">
      <c r="A166" s="64"/>
      <c r="B166" s="20"/>
      <c r="C166" s="39"/>
      <c r="D166" s="39"/>
      <c r="E166" s="39"/>
      <c r="F166" s="39"/>
      <c r="G166" s="65"/>
      <c r="H166" s="39"/>
      <c r="I166" s="39"/>
    </row>
    <row r="167">
      <c r="A167" s="64"/>
      <c r="B167" s="20"/>
      <c r="C167" s="39"/>
      <c r="D167" s="39"/>
      <c r="E167" s="39"/>
      <c r="F167" s="39"/>
      <c r="G167" s="65"/>
      <c r="H167" s="39"/>
      <c r="I167" s="39"/>
    </row>
    <row r="168">
      <c r="A168" s="64"/>
      <c r="B168" s="20"/>
      <c r="C168" s="39"/>
      <c r="D168" s="39"/>
      <c r="E168" s="39"/>
      <c r="F168" s="39"/>
      <c r="G168" s="65"/>
      <c r="H168" s="39"/>
      <c r="I168" s="39"/>
    </row>
    <row r="169">
      <c r="A169" s="64"/>
      <c r="B169" s="20"/>
      <c r="C169" s="39"/>
      <c r="D169" s="39"/>
      <c r="E169" s="39"/>
      <c r="F169" s="39"/>
      <c r="G169" s="65"/>
      <c r="H169" s="39"/>
      <c r="I169" s="39"/>
    </row>
    <row r="170">
      <c r="A170" s="64"/>
      <c r="B170" s="20"/>
      <c r="C170" s="39"/>
      <c r="D170" s="39"/>
      <c r="E170" s="39"/>
      <c r="F170" s="39"/>
      <c r="G170" s="65"/>
      <c r="H170" s="39"/>
      <c r="I170" s="39"/>
    </row>
    <row r="171">
      <c r="A171" s="64"/>
      <c r="B171" s="20"/>
      <c r="C171" s="39"/>
      <c r="D171" s="39"/>
      <c r="E171" s="39"/>
      <c r="F171" s="39"/>
      <c r="G171" s="65"/>
      <c r="H171" s="39"/>
      <c r="I171" s="39"/>
    </row>
    <row r="172">
      <c r="A172" s="64"/>
      <c r="B172" s="20"/>
      <c r="C172" s="39"/>
      <c r="D172" s="39"/>
      <c r="E172" s="39"/>
      <c r="F172" s="39"/>
      <c r="G172" s="65"/>
      <c r="H172" s="39"/>
      <c r="I172" s="39"/>
    </row>
    <row r="173">
      <c r="A173" s="64"/>
      <c r="B173" s="20"/>
      <c r="C173" s="39"/>
      <c r="D173" s="39"/>
      <c r="E173" s="39"/>
      <c r="F173" s="39"/>
      <c r="G173" s="65"/>
      <c r="H173" s="39"/>
      <c r="I173" s="39"/>
    </row>
    <row r="174">
      <c r="A174" s="64"/>
      <c r="B174" s="20"/>
      <c r="C174" s="39"/>
      <c r="D174" s="39"/>
      <c r="E174" s="39"/>
      <c r="F174" s="39"/>
      <c r="G174" s="65"/>
      <c r="H174" s="39"/>
      <c r="I174" s="39"/>
    </row>
    <row r="175">
      <c r="A175" s="64"/>
      <c r="B175" s="20"/>
      <c r="C175" s="39"/>
      <c r="D175" s="39"/>
      <c r="E175" s="39"/>
      <c r="F175" s="39"/>
      <c r="G175" s="65"/>
      <c r="H175" s="39"/>
      <c r="I175" s="39"/>
    </row>
    <row r="176">
      <c r="A176" s="64"/>
      <c r="B176" s="20"/>
      <c r="C176" s="39"/>
      <c r="D176" s="39"/>
      <c r="E176" s="39"/>
      <c r="F176" s="39"/>
      <c r="G176" s="65"/>
      <c r="H176" s="39"/>
      <c r="I176" s="39"/>
    </row>
    <row r="177">
      <c r="A177" s="64"/>
      <c r="B177" s="20"/>
      <c r="C177" s="39"/>
      <c r="D177" s="39"/>
      <c r="E177" s="39"/>
      <c r="F177" s="39"/>
      <c r="G177" s="65"/>
      <c r="H177" s="39"/>
      <c r="I177" s="39"/>
    </row>
    <row r="178">
      <c r="A178" s="64"/>
      <c r="B178" s="20"/>
      <c r="C178" s="39"/>
      <c r="D178" s="39"/>
      <c r="E178" s="39"/>
      <c r="F178" s="39"/>
      <c r="G178" s="65"/>
      <c r="H178" s="39"/>
      <c r="I178" s="39"/>
    </row>
    <row r="179">
      <c r="A179" s="64"/>
      <c r="B179" s="20"/>
      <c r="C179" s="39"/>
      <c r="D179" s="39"/>
      <c r="E179" s="39"/>
      <c r="F179" s="39"/>
      <c r="G179" s="65"/>
      <c r="H179" s="39"/>
      <c r="I179" s="39"/>
    </row>
    <row r="180">
      <c r="A180" s="64"/>
      <c r="B180" s="20"/>
      <c r="C180" s="39"/>
      <c r="D180" s="39"/>
      <c r="E180" s="39"/>
      <c r="F180" s="39"/>
      <c r="G180" s="65"/>
      <c r="H180" s="39"/>
      <c r="I180" s="39"/>
    </row>
    <row r="181">
      <c r="A181" s="64"/>
      <c r="B181" s="20"/>
      <c r="C181" s="39"/>
      <c r="D181" s="39"/>
      <c r="E181" s="39"/>
      <c r="F181" s="39"/>
      <c r="G181" s="65"/>
      <c r="H181" s="39"/>
      <c r="I181" s="39"/>
    </row>
    <row r="182">
      <c r="A182" s="64"/>
      <c r="B182" s="20"/>
      <c r="C182" s="39"/>
      <c r="D182" s="39"/>
      <c r="E182" s="39"/>
      <c r="F182" s="39"/>
      <c r="G182" s="65"/>
      <c r="H182" s="39"/>
      <c r="I182" s="39"/>
    </row>
    <row r="183">
      <c r="A183" s="64"/>
      <c r="B183" s="20"/>
      <c r="C183" s="39"/>
      <c r="D183" s="39"/>
      <c r="E183" s="39"/>
      <c r="F183" s="39"/>
      <c r="G183" s="65"/>
      <c r="H183" s="39"/>
      <c r="I183" s="39"/>
    </row>
    <row r="184">
      <c r="A184" s="64"/>
      <c r="B184" s="20"/>
      <c r="C184" s="39"/>
      <c r="D184" s="39"/>
      <c r="E184" s="39"/>
      <c r="F184" s="39"/>
      <c r="G184" s="65"/>
      <c r="H184" s="39"/>
      <c r="I184" s="39"/>
    </row>
    <row r="185">
      <c r="A185" s="64"/>
      <c r="B185" s="20"/>
      <c r="C185" s="39"/>
      <c r="D185" s="39"/>
      <c r="E185" s="39"/>
      <c r="F185" s="39"/>
      <c r="G185" s="65"/>
      <c r="H185" s="39"/>
      <c r="I185" s="39"/>
    </row>
    <row r="186">
      <c r="A186" s="64"/>
      <c r="B186" s="20"/>
      <c r="C186" s="39"/>
      <c r="D186" s="39"/>
      <c r="E186" s="39"/>
      <c r="F186" s="39"/>
      <c r="G186" s="65"/>
      <c r="H186" s="39"/>
      <c r="I186" s="39"/>
    </row>
    <row r="187">
      <c r="A187" s="64"/>
      <c r="B187" s="20"/>
      <c r="C187" s="39"/>
      <c r="D187" s="39"/>
      <c r="E187" s="39"/>
      <c r="F187" s="39"/>
      <c r="G187" s="65"/>
      <c r="H187" s="39"/>
      <c r="I187" s="39"/>
    </row>
    <row r="188">
      <c r="A188" s="64"/>
      <c r="B188" s="20"/>
      <c r="C188" s="39"/>
      <c r="D188" s="39"/>
      <c r="E188" s="39"/>
      <c r="F188" s="39"/>
      <c r="G188" s="65"/>
      <c r="H188" s="39"/>
      <c r="I188" s="39"/>
    </row>
    <row r="189">
      <c r="A189" s="64"/>
      <c r="B189" s="20"/>
      <c r="C189" s="39"/>
      <c r="D189" s="39"/>
      <c r="E189" s="39"/>
      <c r="F189" s="39"/>
      <c r="G189" s="65"/>
      <c r="H189" s="39"/>
      <c r="I189" s="39"/>
    </row>
    <row r="190">
      <c r="A190" s="64"/>
      <c r="B190" s="20"/>
      <c r="C190" s="39"/>
      <c r="D190" s="39"/>
      <c r="E190" s="39"/>
      <c r="F190" s="39"/>
      <c r="G190" s="65"/>
      <c r="H190" s="39"/>
      <c r="I190" s="39"/>
    </row>
    <row r="191">
      <c r="A191" s="64"/>
      <c r="B191" s="20"/>
      <c r="C191" s="39"/>
      <c r="D191" s="39"/>
      <c r="E191" s="39"/>
      <c r="F191" s="39"/>
      <c r="G191" s="65"/>
      <c r="H191" s="39"/>
      <c r="I191" s="39"/>
    </row>
    <row r="192">
      <c r="A192" s="64"/>
      <c r="B192" s="20"/>
      <c r="C192" s="39"/>
      <c r="D192" s="39"/>
      <c r="E192" s="39"/>
      <c r="F192" s="39"/>
      <c r="G192" s="65"/>
      <c r="H192" s="39"/>
      <c r="I192" s="39"/>
    </row>
    <row r="193">
      <c r="A193" s="64"/>
      <c r="B193" s="20"/>
      <c r="C193" s="39"/>
      <c r="D193" s="39"/>
      <c r="E193" s="39"/>
      <c r="F193" s="39"/>
      <c r="G193" s="65"/>
      <c r="H193" s="39"/>
      <c r="I193" s="39"/>
    </row>
    <row r="194">
      <c r="A194" s="64"/>
      <c r="B194" s="20"/>
      <c r="C194" s="39"/>
      <c r="D194" s="39"/>
      <c r="E194" s="39"/>
      <c r="F194" s="39"/>
      <c r="G194" s="65"/>
      <c r="H194" s="39"/>
      <c r="I194" s="39"/>
    </row>
    <row r="195">
      <c r="A195" s="64"/>
      <c r="B195" s="20"/>
      <c r="C195" s="39"/>
      <c r="D195" s="39"/>
      <c r="E195" s="39"/>
      <c r="F195" s="39"/>
      <c r="G195" s="65"/>
      <c r="H195" s="39"/>
      <c r="I195" s="39"/>
    </row>
    <row r="196">
      <c r="A196" s="64"/>
      <c r="B196" s="20"/>
      <c r="C196" s="39"/>
      <c r="D196" s="39"/>
      <c r="E196" s="39"/>
      <c r="F196" s="39"/>
      <c r="G196" s="65"/>
      <c r="H196" s="39"/>
      <c r="I196" s="39"/>
    </row>
    <row r="197">
      <c r="A197" s="64"/>
      <c r="B197" s="20"/>
      <c r="C197" s="39"/>
      <c r="D197" s="39"/>
      <c r="E197" s="39"/>
      <c r="F197" s="39"/>
      <c r="G197" s="65"/>
      <c r="H197" s="39"/>
      <c r="I197" s="39"/>
    </row>
    <row r="198">
      <c r="A198" s="64"/>
      <c r="B198" s="20"/>
      <c r="C198" s="39"/>
      <c r="D198" s="39"/>
      <c r="E198" s="39"/>
      <c r="F198" s="39"/>
      <c r="G198" s="65"/>
      <c r="H198" s="39"/>
      <c r="I198" s="39"/>
    </row>
    <row r="199">
      <c r="A199" s="64"/>
      <c r="B199" s="20"/>
      <c r="C199" s="39"/>
      <c r="D199" s="39"/>
      <c r="E199" s="39"/>
      <c r="F199" s="39"/>
      <c r="G199" s="65"/>
      <c r="H199" s="39"/>
      <c r="I199" s="39"/>
    </row>
    <row r="200">
      <c r="A200" s="64"/>
      <c r="B200" s="20"/>
      <c r="C200" s="39"/>
      <c r="D200" s="39"/>
      <c r="E200" s="39"/>
      <c r="F200" s="39"/>
      <c r="G200" s="65"/>
      <c r="H200" s="39"/>
      <c r="I200" s="39"/>
    </row>
    <row r="201">
      <c r="A201" s="64"/>
      <c r="B201" s="20"/>
      <c r="C201" s="39"/>
      <c r="D201" s="39"/>
      <c r="E201" s="39"/>
      <c r="F201" s="39"/>
      <c r="G201" s="65"/>
      <c r="H201" s="39"/>
      <c r="I201" s="39"/>
    </row>
    <row r="202">
      <c r="A202" s="64"/>
      <c r="B202" s="20"/>
      <c r="C202" s="39"/>
      <c r="D202" s="39"/>
      <c r="E202" s="39"/>
      <c r="F202" s="39"/>
      <c r="G202" s="65"/>
      <c r="H202" s="39"/>
      <c r="I202" s="39"/>
    </row>
    <row r="203">
      <c r="A203" s="64"/>
      <c r="B203" s="20"/>
      <c r="C203" s="39"/>
      <c r="D203" s="39"/>
      <c r="E203" s="39"/>
      <c r="F203" s="39"/>
      <c r="G203" s="65"/>
      <c r="H203" s="39"/>
      <c r="I203" s="39"/>
    </row>
    <row r="204">
      <c r="A204" s="64"/>
      <c r="B204" s="20"/>
      <c r="C204" s="39"/>
      <c r="D204" s="39"/>
      <c r="E204" s="39"/>
      <c r="F204" s="39"/>
      <c r="G204" s="65"/>
      <c r="H204" s="39"/>
      <c r="I204" s="39"/>
    </row>
    <row r="205">
      <c r="A205" s="64"/>
      <c r="B205" s="20"/>
      <c r="C205" s="39"/>
      <c r="D205" s="39"/>
      <c r="E205" s="39"/>
      <c r="F205" s="39"/>
      <c r="G205" s="65"/>
      <c r="H205" s="39"/>
      <c r="I205" s="39"/>
    </row>
    <row r="206">
      <c r="A206" s="64"/>
      <c r="B206" s="20"/>
      <c r="C206" s="39"/>
      <c r="D206" s="39"/>
      <c r="E206" s="39"/>
      <c r="F206" s="39"/>
      <c r="G206" s="65"/>
      <c r="H206" s="39"/>
      <c r="I206" s="39"/>
    </row>
    <row r="207">
      <c r="A207" s="64"/>
      <c r="B207" s="20"/>
      <c r="C207" s="39"/>
      <c r="D207" s="39"/>
      <c r="E207" s="39"/>
      <c r="F207" s="39"/>
      <c r="G207" s="65"/>
      <c r="H207" s="39"/>
      <c r="I207" s="39"/>
    </row>
    <row r="208">
      <c r="A208" s="64"/>
      <c r="B208" s="20"/>
      <c r="C208" s="39"/>
      <c r="D208" s="39"/>
      <c r="E208" s="39"/>
      <c r="F208" s="39"/>
      <c r="G208" s="65"/>
      <c r="H208" s="39"/>
      <c r="I208" s="39"/>
    </row>
    <row r="209">
      <c r="A209" s="64"/>
      <c r="B209" s="20"/>
      <c r="C209" s="39"/>
      <c r="D209" s="39"/>
      <c r="E209" s="39"/>
      <c r="F209" s="39"/>
      <c r="G209" s="65"/>
      <c r="H209" s="39"/>
      <c r="I209" s="39"/>
    </row>
    <row r="210">
      <c r="A210" s="64"/>
      <c r="B210" s="20"/>
      <c r="C210" s="39"/>
      <c r="D210" s="39"/>
      <c r="E210" s="39"/>
      <c r="F210" s="39"/>
      <c r="G210" s="65"/>
      <c r="H210" s="39"/>
      <c r="I210" s="39"/>
    </row>
    <row r="211">
      <c r="A211" s="64"/>
      <c r="B211" s="20"/>
      <c r="C211" s="39"/>
      <c r="D211" s="39"/>
      <c r="E211" s="39"/>
      <c r="F211" s="39"/>
      <c r="G211" s="65"/>
      <c r="H211" s="39"/>
      <c r="I211" s="39"/>
    </row>
    <row r="212">
      <c r="A212" s="64"/>
      <c r="B212" s="20"/>
      <c r="C212" s="39"/>
      <c r="D212" s="39"/>
      <c r="E212" s="39"/>
      <c r="F212" s="39"/>
      <c r="G212" s="65"/>
      <c r="H212" s="39"/>
      <c r="I212" s="39"/>
    </row>
    <row r="213">
      <c r="A213" s="64"/>
      <c r="B213" s="20"/>
      <c r="C213" s="39"/>
      <c r="D213" s="39"/>
      <c r="E213" s="39"/>
      <c r="F213" s="39"/>
      <c r="G213" s="65"/>
      <c r="H213" s="39"/>
      <c r="I213" s="39"/>
    </row>
    <row r="214">
      <c r="A214" s="64"/>
      <c r="B214" s="20"/>
      <c r="C214" s="39"/>
      <c r="D214" s="39"/>
      <c r="E214" s="39"/>
      <c r="F214" s="39"/>
      <c r="G214" s="65"/>
      <c r="H214" s="39"/>
      <c r="I214" s="39"/>
    </row>
    <row r="215">
      <c r="A215" s="64"/>
      <c r="B215" s="20"/>
      <c r="C215" s="39"/>
      <c r="D215" s="39"/>
      <c r="E215" s="39"/>
      <c r="F215" s="39"/>
      <c r="G215" s="65"/>
      <c r="H215" s="39"/>
      <c r="I215" s="39"/>
    </row>
    <row r="216">
      <c r="A216" s="64"/>
      <c r="B216" s="20"/>
      <c r="C216" s="39"/>
      <c r="D216" s="39"/>
      <c r="E216" s="39"/>
      <c r="F216" s="39"/>
      <c r="G216" s="65"/>
      <c r="H216" s="39"/>
      <c r="I216" s="39"/>
    </row>
    <row r="217">
      <c r="A217" s="64"/>
      <c r="B217" s="20"/>
      <c r="C217" s="39"/>
      <c r="D217" s="39"/>
      <c r="E217" s="39"/>
      <c r="F217" s="39"/>
      <c r="G217" s="65"/>
      <c r="H217" s="39"/>
      <c r="I217" s="39"/>
    </row>
    <row r="218">
      <c r="A218" s="64"/>
      <c r="B218" s="20"/>
      <c r="C218" s="39"/>
      <c r="D218" s="39"/>
      <c r="E218" s="39"/>
      <c r="F218" s="39"/>
      <c r="G218" s="65"/>
      <c r="H218" s="39"/>
      <c r="I218" s="39"/>
    </row>
    <row r="219">
      <c r="A219" s="64"/>
      <c r="B219" s="20"/>
      <c r="C219" s="39"/>
      <c r="D219" s="39"/>
      <c r="E219" s="39"/>
      <c r="F219" s="39"/>
      <c r="G219" s="65"/>
      <c r="H219" s="39"/>
      <c r="I219" s="39"/>
    </row>
    <row r="220">
      <c r="A220" s="64"/>
      <c r="B220" s="20"/>
      <c r="C220" s="39"/>
      <c r="D220" s="39"/>
      <c r="E220" s="39"/>
      <c r="F220" s="39"/>
      <c r="G220" s="65"/>
      <c r="H220" s="39"/>
      <c r="I220" s="39"/>
    </row>
    <row r="221">
      <c r="A221" s="64"/>
      <c r="B221" s="20"/>
      <c r="C221" s="39"/>
      <c r="D221" s="39"/>
      <c r="E221" s="39"/>
      <c r="F221" s="39"/>
      <c r="G221" s="65"/>
      <c r="H221" s="39"/>
      <c r="I221" s="39"/>
    </row>
    <row r="222">
      <c r="A222" s="64"/>
      <c r="B222" s="20"/>
      <c r="C222" s="39"/>
      <c r="D222" s="39"/>
      <c r="E222" s="39"/>
      <c r="F222" s="39"/>
      <c r="G222" s="65"/>
      <c r="H222" s="39"/>
      <c r="I222" s="39"/>
    </row>
    <row r="223">
      <c r="A223" s="64"/>
      <c r="B223" s="20"/>
      <c r="C223" s="39"/>
      <c r="D223" s="39"/>
      <c r="E223" s="39"/>
      <c r="F223" s="39"/>
      <c r="G223" s="65"/>
      <c r="H223" s="39"/>
      <c r="I223" s="39"/>
    </row>
    <row r="224">
      <c r="A224" s="64"/>
      <c r="B224" s="20"/>
      <c r="C224" s="39"/>
      <c r="D224" s="39"/>
      <c r="E224" s="39"/>
      <c r="F224" s="39"/>
      <c r="G224" s="65"/>
      <c r="H224" s="39"/>
      <c r="I224" s="39"/>
    </row>
    <row r="225">
      <c r="A225" s="64"/>
      <c r="B225" s="20"/>
      <c r="C225" s="39"/>
      <c r="D225" s="39"/>
      <c r="E225" s="39"/>
      <c r="F225" s="39"/>
      <c r="G225" s="65"/>
      <c r="H225" s="39"/>
      <c r="I225" s="39"/>
    </row>
    <row r="226">
      <c r="A226" s="64"/>
      <c r="B226" s="20"/>
      <c r="C226" s="39"/>
      <c r="D226" s="39"/>
      <c r="E226" s="39"/>
      <c r="F226" s="39"/>
      <c r="G226" s="65"/>
      <c r="H226" s="39"/>
      <c r="I226" s="39"/>
    </row>
    <row r="227">
      <c r="A227" s="64"/>
      <c r="B227" s="20"/>
      <c r="C227" s="39"/>
      <c r="D227" s="39"/>
      <c r="E227" s="39"/>
      <c r="F227" s="39"/>
      <c r="G227" s="65"/>
      <c r="H227" s="39"/>
      <c r="I227" s="39"/>
    </row>
    <row r="228">
      <c r="A228" s="64"/>
      <c r="B228" s="20"/>
      <c r="C228" s="39"/>
      <c r="D228" s="39"/>
      <c r="E228" s="39"/>
      <c r="F228" s="39"/>
      <c r="G228" s="65"/>
      <c r="H228" s="39"/>
      <c r="I228" s="39"/>
    </row>
    <row r="229">
      <c r="A229" s="64"/>
      <c r="B229" s="20"/>
      <c r="C229" s="39"/>
      <c r="D229" s="39"/>
      <c r="E229" s="39"/>
      <c r="F229" s="39"/>
      <c r="G229" s="65"/>
      <c r="H229" s="39"/>
      <c r="I229" s="39"/>
    </row>
    <row r="230">
      <c r="A230" s="64"/>
      <c r="B230" s="20"/>
      <c r="C230" s="39"/>
      <c r="D230" s="39"/>
      <c r="E230" s="39"/>
      <c r="F230" s="39"/>
      <c r="G230" s="65"/>
      <c r="H230" s="39"/>
      <c r="I230" s="39"/>
    </row>
    <row r="231">
      <c r="A231" s="64"/>
      <c r="B231" s="20"/>
      <c r="C231" s="39"/>
      <c r="D231" s="39"/>
      <c r="E231" s="39"/>
      <c r="F231" s="39"/>
      <c r="G231" s="65"/>
      <c r="H231" s="39"/>
      <c r="I231" s="39"/>
    </row>
    <row r="232">
      <c r="A232" s="64"/>
      <c r="B232" s="20"/>
      <c r="C232" s="39"/>
      <c r="D232" s="39"/>
      <c r="E232" s="39"/>
      <c r="F232" s="39"/>
      <c r="G232" s="65"/>
      <c r="H232" s="39"/>
      <c r="I232" s="39"/>
    </row>
    <row r="233">
      <c r="A233" s="64"/>
      <c r="B233" s="20"/>
      <c r="C233" s="39"/>
      <c r="D233" s="39"/>
      <c r="E233" s="39"/>
      <c r="F233" s="39"/>
      <c r="G233" s="65"/>
      <c r="H233" s="39"/>
      <c r="I233" s="39"/>
    </row>
    <row r="234">
      <c r="A234" s="64"/>
      <c r="B234" s="20"/>
      <c r="C234" s="39"/>
      <c r="D234" s="39"/>
      <c r="E234" s="39"/>
      <c r="F234" s="39"/>
      <c r="G234" s="65"/>
      <c r="H234" s="39"/>
      <c r="I234" s="39"/>
    </row>
    <row r="235">
      <c r="A235" s="64"/>
      <c r="B235" s="20"/>
      <c r="C235" s="39"/>
      <c r="D235" s="39"/>
      <c r="E235" s="39"/>
      <c r="F235" s="39"/>
      <c r="G235" s="65"/>
      <c r="H235" s="39"/>
      <c r="I235" s="39"/>
    </row>
    <row r="236">
      <c r="A236" s="64"/>
      <c r="B236" s="20"/>
      <c r="C236" s="39"/>
      <c r="D236" s="39"/>
      <c r="E236" s="39"/>
      <c r="F236" s="39"/>
      <c r="G236" s="65"/>
      <c r="H236" s="39"/>
      <c r="I236" s="39"/>
    </row>
    <row r="237">
      <c r="A237" s="64"/>
      <c r="B237" s="20"/>
      <c r="C237" s="39"/>
      <c r="D237" s="39"/>
      <c r="E237" s="39"/>
      <c r="F237" s="39"/>
      <c r="G237" s="65"/>
      <c r="H237" s="39"/>
      <c r="I237" s="39"/>
    </row>
    <row r="238">
      <c r="A238" s="64"/>
      <c r="B238" s="20"/>
      <c r="C238" s="39"/>
      <c r="D238" s="39"/>
      <c r="E238" s="39"/>
      <c r="F238" s="39"/>
      <c r="G238" s="65"/>
      <c r="H238" s="39"/>
      <c r="I238" s="39"/>
    </row>
    <row r="239">
      <c r="A239" s="64"/>
      <c r="B239" s="20"/>
      <c r="C239" s="39"/>
      <c r="D239" s="39"/>
      <c r="E239" s="39"/>
      <c r="F239" s="39"/>
      <c r="G239" s="65"/>
      <c r="H239" s="39"/>
      <c r="I239" s="39"/>
    </row>
    <row r="240">
      <c r="A240" s="64"/>
      <c r="B240" s="20"/>
      <c r="C240" s="39"/>
      <c r="D240" s="39"/>
      <c r="E240" s="39"/>
      <c r="F240" s="39"/>
      <c r="G240" s="65"/>
      <c r="H240" s="39"/>
      <c r="I240" s="39"/>
    </row>
    <row r="241">
      <c r="A241" s="64"/>
      <c r="B241" s="20"/>
      <c r="C241" s="39"/>
      <c r="D241" s="39"/>
      <c r="E241" s="39"/>
      <c r="F241" s="39"/>
      <c r="G241" s="65"/>
      <c r="H241" s="39"/>
      <c r="I241" s="39"/>
    </row>
    <row r="242">
      <c r="A242" s="64"/>
      <c r="B242" s="20"/>
      <c r="C242" s="39"/>
      <c r="D242" s="39"/>
      <c r="E242" s="39"/>
      <c r="F242" s="39"/>
      <c r="G242" s="65"/>
      <c r="H242" s="39"/>
      <c r="I242" s="39"/>
    </row>
    <row r="243">
      <c r="A243" s="64"/>
      <c r="B243" s="20"/>
      <c r="C243" s="39"/>
      <c r="D243" s="39"/>
      <c r="E243" s="39"/>
      <c r="F243" s="39"/>
      <c r="G243" s="65"/>
      <c r="H243" s="39"/>
      <c r="I243" s="39"/>
    </row>
    <row r="244">
      <c r="A244" s="64"/>
      <c r="B244" s="20"/>
      <c r="C244" s="39"/>
      <c r="D244" s="39"/>
      <c r="E244" s="39"/>
      <c r="F244" s="39"/>
      <c r="G244" s="65"/>
      <c r="H244" s="39"/>
      <c r="I244" s="39"/>
    </row>
    <row r="245">
      <c r="A245" s="64"/>
      <c r="B245" s="20"/>
      <c r="C245" s="39"/>
      <c r="D245" s="39"/>
      <c r="E245" s="39"/>
      <c r="F245" s="39"/>
      <c r="G245" s="65"/>
      <c r="H245" s="39"/>
      <c r="I245" s="39"/>
    </row>
    <row r="246">
      <c r="A246" s="64"/>
      <c r="B246" s="20"/>
      <c r="C246" s="39"/>
      <c r="D246" s="39"/>
      <c r="E246" s="39"/>
      <c r="F246" s="39"/>
      <c r="G246" s="65"/>
      <c r="H246" s="39"/>
      <c r="I246" s="39"/>
    </row>
    <row r="247">
      <c r="A247" s="64"/>
      <c r="B247" s="20"/>
      <c r="C247" s="39"/>
      <c r="D247" s="39"/>
      <c r="E247" s="39"/>
      <c r="F247" s="39"/>
      <c r="G247" s="65"/>
      <c r="H247" s="39"/>
      <c r="I247" s="39"/>
    </row>
    <row r="248">
      <c r="A248" s="64"/>
      <c r="B248" s="20"/>
      <c r="C248" s="39"/>
      <c r="D248" s="39"/>
      <c r="E248" s="39"/>
      <c r="F248" s="39"/>
      <c r="G248" s="65"/>
      <c r="H248" s="39"/>
      <c r="I248" s="39"/>
    </row>
    <row r="249">
      <c r="A249" s="64"/>
      <c r="B249" s="20"/>
      <c r="C249" s="39"/>
      <c r="D249" s="39"/>
      <c r="E249" s="39"/>
      <c r="F249" s="39"/>
      <c r="G249" s="65"/>
      <c r="H249" s="39"/>
      <c r="I249" s="39"/>
    </row>
    <row r="250">
      <c r="A250" s="64"/>
      <c r="B250" s="20"/>
      <c r="C250" s="39"/>
      <c r="D250" s="39"/>
      <c r="E250" s="39"/>
      <c r="F250" s="39"/>
      <c r="G250" s="65"/>
      <c r="H250" s="39"/>
      <c r="I250" s="39"/>
    </row>
    <row r="251">
      <c r="A251" s="64"/>
      <c r="B251" s="20"/>
      <c r="C251" s="39"/>
      <c r="D251" s="39"/>
      <c r="E251" s="39"/>
      <c r="F251" s="39"/>
      <c r="G251" s="65"/>
      <c r="H251" s="39"/>
      <c r="I251" s="39"/>
    </row>
    <row r="252">
      <c r="A252" s="64"/>
      <c r="B252" s="20"/>
      <c r="C252" s="39"/>
      <c r="D252" s="39"/>
      <c r="E252" s="39"/>
      <c r="F252" s="39"/>
      <c r="G252" s="65"/>
      <c r="H252" s="39"/>
      <c r="I252" s="39"/>
    </row>
    <row r="253">
      <c r="A253" s="64"/>
      <c r="B253" s="20"/>
      <c r="C253" s="39"/>
      <c r="D253" s="39"/>
      <c r="E253" s="39"/>
      <c r="F253" s="39"/>
      <c r="G253" s="65"/>
      <c r="H253" s="39"/>
      <c r="I253" s="39"/>
    </row>
    <row r="254">
      <c r="A254" s="64"/>
      <c r="B254" s="20"/>
      <c r="C254" s="39"/>
      <c r="D254" s="39"/>
      <c r="E254" s="39"/>
      <c r="F254" s="39"/>
      <c r="G254" s="65"/>
      <c r="H254" s="39"/>
      <c r="I254" s="39"/>
    </row>
    <row r="255">
      <c r="A255" s="64"/>
      <c r="B255" s="20"/>
      <c r="C255" s="39"/>
      <c r="D255" s="39"/>
      <c r="E255" s="39"/>
      <c r="F255" s="39"/>
      <c r="G255" s="65"/>
      <c r="H255" s="39"/>
      <c r="I255" s="39"/>
    </row>
    <row r="256">
      <c r="A256" s="64"/>
      <c r="B256" s="20"/>
      <c r="C256" s="39"/>
      <c r="D256" s="39"/>
      <c r="E256" s="39"/>
      <c r="F256" s="39"/>
      <c r="G256" s="65"/>
      <c r="H256" s="39"/>
      <c r="I256" s="39"/>
    </row>
    <row r="257">
      <c r="A257" s="64"/>
      <c r="B257" s="20"/>
      <c r="C257" s="39"/>
      <c r="D257" s="39"/>
      <c r="E257" s="39"/>
      <c r="F257" s="39"/>
      <c r="G257" s="65"/>
      <c r="H257" s="39"/>
      <c r="I257" s="39"/>
    </row>
    <row r="258">
      <c r="A258" s="64"/>
      <c r="B258" s="20"/>
      <c r="C258" s="39"/>
      <c r="D258" s="39"/>
      <c r="E258" s="39"/>
      <c r="F258" s="39"/>
      <c r="G258" s="65"/>
      <c r="H258" s="39"/>
      <c r="I258" s="39"/>
    </row>
    <row r="259">
      <c r="A259" s="64"/>
      <c r="B259" s="20"/>
      <c r="C259" s="39"/>
      <c r="D259" s="39"/>
      <c r="E259" s="39"/>
      <c r="F259" s="39"/>
      <c r="G259" s="65"/>
      <c r="H259" s="39"/>
      <c r="I259" s="39"/>
    </row>
    <row r="260">
      <c r="A260" s="64"/>
      <c r="B260" s="20"/>
      <c r="C260" s="39"/>
      <c r="D260" s="39"/>
      <c r="E260" s="39"/>
      <c r="F260" s="39"/>
      <c r="G260" s="65"/>
      <c r="H260" s="39"/>
      <c r="I260" s="39"/>
    </row>
    <row r="261">
      <c r="A261" s="64"/>
      <c r="B261" s="20"/>
      <c r="C261" s="39"/>
      <c r="D261" s="39"/>
      <c r="E261" s="39"/>
      <c r="F261" s="39"/>
      <c r="G261" s="65"/>
      <c r="H261" s="39"/>
      <c r="I261" s="39"/>
    </row>
    <row r="262">
      <c r="A262" s="64"/>
      <c r="B262" s="20"/>
      <c r="C262" s="39"/>
      <c r="D262" s="39"/>
      <c r="E262" s="39"/>
      <c r="F262" s="39"/>
      <c r="G262" s="65"/>
      <c r="H262" s="39"/>
      <c r="I262" s="39"/>
    </row>
    <row r="263">
      <c r="A263" s="64"/>
      <c r="B263" s="20"/>
      <c r="C263" s="39"/>
      <c r="D263" s="39"/>
      <c r="E263" s="39"/>
      <c r="F263" s="39"/>
      <c r="G263" s="65"/>
      <c r="H263" s="39"/>
      <c r="I263" s="39"/>
    </row>
    <row r="264">
      <c r="A264" s="64"/>
      <c r="B264" s="20"/>
      <c r="C264" s="39"/>
      <c r="D264" s="39"/>
      <c r="E264" s="39"/>
      <c r="F264" s="39"/>
      <c r="G264" s="65"/>
      <c r="H264" s="39"/>
      <c r="I264" s="39"/>
    </row>
    <row r="265">
      <c r="A265" s="64"/>
      <c r="B265" s="20"/>
      <c r="C265" s="39"/>
      <c r="D265" s="39"/>
      <c r="E265" s="39"/>
      <c r="F265" s="39"/>
      <c r="G265" s="65"/>
      <c r="H265" s="39"/>
      <c r="I265" s="39"/>
    </row>
    <row r="266">
      <c r="A266" s="64"/>
      <c r="B266" s="20"/>
      <c r="C266" s="39"/>
      <c r="D266" s="39"/>
      <c r="E266" s="39"/>
      <c r="F266" s="39"/>
      <c r="G266" s="65"/>
      <c r="H266" s="39"/>
      <c r="I266" s="39"/>
    </row>
    <row r="267">
      <c r="A267" s="64"/>
      <c r="B267" s="20"/>
      <c r="C267" s="39"/>
      <c r="D267" s="39"/>
      <c r="E267" s="39"/>
      <c r="F267" s="39"/>
      <c r="G267" s="65"/>
      <c r="H267" s="39"/>
      <c r="I267" s="39"/>
    </row>
    <row r="268">
      <c r="A268" s="64"/>
      <c r="B268" s="20"/>
      <c r="C268" s="39"/>
      <c r="D268" s="39"/>
      <c r="E268" s="39"/>
      <c r="F268" s="39"/>
      <c r="G268" s="65"/>
      <c r="H268" s="39"/>
      <c r="I268" s="39"/>
    </row>
    <row r="269">
      <c r="A269" s="64"/>
      <c r="B269" s="20"/>
      <c r="C269" s="39"/>
      <c r="D269" s="39"/>
      <c r="E269" s="39"/>
      <c r="F269" s="39"/>
      <c r="G269" s="65"/>
      <c r="H269" s="39"/>
      <c r="I269" s="39"/>
    </row>
    <row r="270">
      <c r="A270" s="64"/>
      <c r="B270" s="20"/>
      <c r="C270" s="39"/>
      <c r="D270" s="39"/>
      <c r="E270" s="39"/>
      <c r="F270" s="39"/>
      <c r="G270" s="65"/>
      <c r="H270" s="39"/>
      <c r="I270" s="39"/>
    </row>
    <row r="271">
      <c r="A271" s="64"/>
      <c r="B271" s="20"/>
      <c r="C271" s="39"/>
      <c r="D271" s="39"/>
      <c r="E271" s="39"/>
      <c r="F271" s="39"/>
      <c r="G271" s="65"/>
      <c r="H271" s="39"/>
      <c r="I271" s="39"/>
    </row>
    <row r="272">
      <c r="A272" s="64"/>
      <c r="B272" s="20"/>
      <c r="C272" s="39"/>
      <c r="D272" s="39"/>
      <c r="E272" s="39"/>
      <c r="F272" s="39"/>
      <c r="G272" s="65"/>
      <c r="H272" s="39"/>
      <c r="I272" s="39"/>
    </row>
    <row r="273">
      <c r="A273" s="64"/>
      <c r="B273" s="20"/>
      <c r="C273" s="39"/>
      <c r="D273" s="39"/>
      <c r="E273" s="39"/>
      <c r="F273" s="39"/>
      <c r="G273" s="65"/>
      <c r="H273" s="39"/>
      <c r="I273" s="39"/>
    </row>
    <row r="274">
      <c r="A274" s="64"/>
      <c r="B274" s="20"/>
      <c r="C274" s="39"/>
      <c r="D274" s="39"/>
      <c r="E274" s="39"/>
      <c r="F274" s="39"/>
      <c r="G274" s="65"/>
      <c r="H274" s="39"/>
      <c r="I274" s="39"/>
    </row>
    <row r="275">
      <c r="A275" s="64"/>
      <c r="B275" s="20"/>
      <c r="C275" s="39"/>
      <c r="D275" s="39"/>
      <c r="E275" s="39"/>
      <c r="F275" s="39"/>
      <c r="G275" s="65"/>
      <c r="H275" s="39"/>
      <c r="I275" s="39"/>
    </row>
    <row r="276">
      <c r="A276" s="64"/>
      <c r="B276" s="20"/>
      <c r="C276" s="39"/>
      <c r="D276" s="39"/>
      <c r="E276" s="39"/>
      <c r="F276" s="39"/>
      <c r="G276" s="65"/>
      <c r="H276" s="39"/>
      <c r="I276" s="39"/>
    </row>
    <row r="277">
      <c r="A277" s="64"/>
      <c r="B277" s="20"/>
      <c r="C277" s="39"/>
      <c r="D277" s="39"/>
      <c r="E277" s="39"/>
      <c r="F277" s="39"/>
      <c r="G277" s="65"/>
      <c r="H277" s="39"/>
      <c r="I277" s="39"/>
    </row>
    <row r="278">
      <c r="A278" s="64"/>
      <c r="B278" s="20"/>
      <c r="C278" s="39"/>
      <c r="D278" s="39"/>
      <c r="E278" s="39"/>
      <c r="F278" s="39"/>
      <c r="G278" s="65"/>
      <c r="H278" s="39"/>
      <c r="I278" s="39"/>
    </row>
    <row r="279">
      <c r="A279" s="64"/>
      <c r="B279" s="20"/>
      <c r="C279" s="39"/>
      <c r="D279" s="39"/>
      <c r="E279" s="39"/>
      <c r="F279" s="39"/>
      <c r="G279" s="65"/>
      <c r="H279" s="39"/>
      <c r="I279" s="39"/>
    </row>
    <row r="280">
      <c r="A280" s="64"/>
      <c r="B280" s="20"/>
      <c r="C280" s="39"/>
      <c r="D280" s="39"/>
      <c r="E280" s="39"/>
      <c r="F280" s="39"/>
      <c r="G280" s="65"/>
      <c r="H280" s="39"/>
      <c r="I280" s="39"/>
    </row>
    <row r="281">
      <c r="A281" s="64"/>
      <c r="B281" s="20"/>
      <c r="C281" s="39"/>
      <c r="D281" s="39"/>
      <c r="E281" s="39"/>
      <c r="F281" s="39"/>
      <c r="G281" s="65"/>
      <c r="H281" s="39"/>
      <c r="I281" s="39"/>
    </row>
    <row r="282">
      <c r="A282" s="64"/>
      <c r="B282" s="20"/>
      <c r="C282" s="39"/>
      <c r="D282" s="39"/>
      <c r="E282" s="39"/>
      <c r="F282" s="39"/>
      <c r="G282" s="65"/>
      <c r="H282" s="39"/>
      <c r="I282" s="39"/>
    </row>
    <row r="283">
      <c r="A283" s="64"/>
      <c r="B283" s="20"/>
      <c r="C283" s="39"/>
      <c r="D283" s="39"/>
      <c r="E283" s="39"/>
      <c r="F283" s="39"/>
      <c r="G283" s="65"/>
      <c r="H283" s="39"/>
      <c r="I283" s="39"/>
    </row>
    <row r="284">
      <c r="A284" s="64"/>
      <c r="B284" s="20"/>
      <c r="C284" s="39"/>
      <c r="D284" s="39"/>
      <c r="E284" s="39"/>
      <c r="F284" s="39"/>
      <c r="G284" s="65"/>
      <c r="H284" s="39"/>
      <c r="I284" s="39"/>
    </row>
    <row r="285">
      <c r="A285" s="64"/>
      <c r="B285" s="20"/>
      <c r="C285" s="39"/>
      <c r="D285" s="39"/>
      <c r="E285" s="39"/>
      <c r="F285" s="39"/>
      <c r="G285" s="65"/>
      <c r="H285" s="39"/>
      <c r="I285" s="39"/>
    </row>
    <row r="286">
      <c r="A286" s="64"/>
      <c r="B286" s="20"/>
      <c r="C286" s="39"/>
      <c r="D286" s="39"/>
      <c r="E286" s="39"/>
      <c r="F286" s="39"/>
      <c r="G286" s="65"/>
      <c r="H286" s="39"/>
      <c r="I286" s="39"/>
    </row>
    <row r="287">
      <c r="A287" s="64"/>
      <c r="B287" s="20"/>
      <c r="C287" s="39"/>
      <c r="D287" s="39"/>
      <c r="E287" s="39"/>
      <c r="F287" s="39"/>
      <c r="G287" s="65"/>
      <c r="H287" s="39"/>
      <c r="I287" s="39"/>
    </row>
    <row r="288">
      <c r="A288" s="64"/>
      <c r="B288" s="20"/>
      <c r="C288" s="39"/>
      <c r="D288" s="39"/>
      <c r="E288" s="39"/>
      <c r="F288" s="39"/>
      <c r="G288" s="65"/>
      <c r="H288" s="39"/>
      <c r="I288" s="39"/>
    </row>
    <row r="289">
      <c r="A289" s="64"/>
      <c r="B289" s="20"/>
      <c r="C289" s="39"/>
      <c r="D289" s="39"/>
      <c r="E289" s="39"/>
      <c r="F289" s="39"/>
      <c r="G289" s="65"/>
      <c r="H289" s="39"/>
      <c r="I289" s="39"/>
    </row>
    <row r="290">
      <c r="A290" s="64"/>
      <c r="B290" s="20"/>
      <c r="C290" s="39"/>
      <c r="D290" s="39"/>
      <c r="E290" s="39"/>
      <c r="F290" s="39"/>
      <c r="G290" s="65"/>
      <c r="H290" s="39"/>
      <c r="I290" s="39"/>
    </row>
    <row r="291">
      <c r="A291" s="64"/>
      <c r="B291" s="20"/>
      <c r="C291" s="39"/>
      <c r="D291" s="39"/>
      <c r="E291" s="39"/>
      <c r="F291" s="39"/>
      <c r="G291" s="65"/>
      <c r="H291" s="39"/>
      <c r="I291" s="39"/>
    </row>
    <row r="292">
      <c r="A292" s="64"/>
      <c r="B292" s="20"/>
      <c r="C292" s="39"/>
      <c r="D292" s="39"/>
      <c r="E292" s="39"/>
      <c r="F292" s="39"/>
      <c r="G292" s="65"/>
      <c r="H292" s="39"/>
      <c r="I292" s="39"/>
    </row>
    <row r="293">
      <c r="A293" s="64"/>
      <c r="B293" s="20"/>
      <c r="C293" s="39"/>
      <c r="D293" s="39"/>
      <c r="E293" s="39"/>
      <c r="F293" s="39"/>
      <c r="G293" s="65"/>
      <c r="H293" s="39"/>
      <c r="I293" s="39"/>
    </row>
    <row r="294">
      <c r="A294" s="64"/>
      <c r="B294" s="20"/>
      <c r="C294" s="39"/>
      <c r="D294" s="39"/>
      <c r="E294" s="39"/>
      <c r="F294" s="39"/>
      <c r="G294" s="65"/>
      <c r="H294" s="39"/>
      <c r="I294" s="39"/>
    </row>
    <row r="295">
      <c r="A295" s="64"/>
      <c r="B295" s="20"/>
      <c r="C295" s="39"/>
      <c r="D295" s="39"/>
      <c r="E295" s="39"/>
      <c r="F295" s="39"/>
      <c r="G295" s="65"/>
      <c r="H295" s="39"/>
      <c r="I295" s="39"/>
    </row>
    <row r="296">
      <c r="A296" s="64"/>
      <c r="B296" s="20"/>
      <c r="C296" s="39"/>
      <c r="D296" s="39"/>
      <c r="E296" s="39"/>
      <c r="F296" s="39"/>
      <c r="G296" s="65"/>
      <c r="H296" s="39"/>
      <c r="I296" s="39"/>
    </row>
    <row r="297">
      <c r="A297" s="64"/>
      <c r="B297" s="20"/>
      <c r="C297" s="39"/>
      <c r="D297" s="39"/>
      <c r="E297" s="39"/>
      <c r="F297" s="39"/>
      <c r="G297" s="65"/>
      <c r="H297" s="39"/>
      <c r="I297" s="39"/>
    </row>
    <row r="298">
      <c r="A298" s="64"/>
      <c r="B298" s="20"/>
      <c r="C298" s="39"/>
      <c r="D298" s="39"/>
      <c r="E298" s="39"/>
      <c r="F298" s="39"/>
      <c r="G298" s="65"/>
      <c r="H298" s="39"/>
      <c r="I298" s="39"/>
    </row>
    <row r="299">
      <c r="A299" s="64"/>
      <c r="B299" s="20"/>
      <c r="C299" s="39"/>
      <c r="D299" s="39"/>
      <c r="E299" s="39"/>
      <c r="F299" s="39"/>
      <c r="G299" s="65"/>
      <c r="H299" s="39"/>
      <c r="I299" s="39"/>
    </row>
    <row r="300">
      <c r="A300" s="64"/>
      <c r="B300" s="20"/>
      <c r="C300" s="39"/>
      <c r="D300" s="39"/>
      <c r="E300" s="39"/>
      <c r="F300" s="39"/>
      <c r="G300" s="65"/>
      <c r="H300" s="39"/>
      <c r="I300" s="39"/>
    </row>
    <row r="301">
      <c r="A301" s="64"/>
      <c r="B301" s="20"/>
      <c r="C301" s="39"/>
      <c r="D301" s="39"/>
      <c r="E301" s="39"/>
      <c r="F301" s="39"/>
      <c r="G301" s="65"/>
      <c r="H301" s="39"/>
      <c r="I301" s="39"/>
    </row>
    <row r="302">
      <c r="A302" s="64"/>
      <c r="B302" s="20"/>
      <c r="C302" s="39"/>
      <c r="D302" s="39"/>
      <c r="E302" s="39"/>
      <c r="F302" s="39"/>
      <c r="G302" s="65"/>
      <c r="H302" s="39"/>
      <c r="I302" s="39"/>
    </row>
    <row r="303">
      <c r="A303" s="64"/>
      <c r="B303" s="20"/>
      <c r="C303" s="39"/>
      <c r="D303" s="39"/>
      <c r="E303" s="39"/>
      <c r="F303" s="39"/>
      <c r="G303" s="65"/>
      <c r="H303" s="39"/>
      <c r="I303" s="39"/>
    </row>
    <row r="304">
      <c r="A304" s="64"/>
      <c r="B304" s="20"/>
      <c r="C304" s="39"/>
      <c r="D304" s="39"/>
      <c r="E304" s="39"/>
      <c r="F304" s="39"/>
      <c r="G304" s="65"/>
      <c r="H304" s="39"/>
      <c r="I304" s="39"/>
    </row>
    <row r="305">
      <c r="A305" s="64"/>
      <c r="B305" s="20"/>
      <c r="C305" s="39"/>
      <c r="D305" s="39"/>
      <c r="E305" s="39"/>
      <c r="F305" s="39"/>
      <c r="G305" s="65"/>
      <c r="H305" s="39"/>
      <c r="I305" s="39"/>
    </row>
    <row r="306">
      <c r="A306" s="64"/>
      <c r="B306" s="20"/>
      <c r="C306" s="39"/>
      <c r="D306" s="39"/>
      <c r="E306" s="39"/>
      <c r="F306" s="39"/>
      <c r="G306" s="65"/>
      <c r="H306" s="39"/>
      <c r="I306" s="39"/>
    </row>
    <row r="307">
      <c r="A307" s="64"/>
      <c r="B307" s="20"/>
      <c r="C307" s="39"/>
      <c r="D307" s="39"/>
      <c r="E307" s="39"/>
      <c r="F307" s="39"/>
      <c r="G307" s="65"/>
      <c r="H307" s="39"/>
      <c r="I307" s="39"/>
    </row>
    <row r="308">
      <c r="A308" s="64"/>
      <c r="B308" s="20"/>
      <c r="C308" s="39"/>
      <c r="D308" s="39"/>
      <c r="E308" s="39"/>
      <c r="F308" s="39"/>
      <c r="G308" s="65"/>
      <c r="H308" s="39"/>
      <c r="I308" s="39"/>
    </row>
    <row r="309">
      <c r="A309" s="64"/>
      <c r="B309" s="20"/>
      <c r="C309" s="39"/>
      <c r="D309" s="39"/>
      <c r="E309" s="39"/>
      <c r="F309" s="39"/>
      <c r="G309" s="65"/>
      <c r="H309" s="39"/>
      <c r="I309" s="39"/>
    </row>
    <row r="310">
      <c r="A310" s="64"/>
      <c r="B310" s="20"/>
      <c r="C310" s="39"/>
      <c r="D310" s="39"/>
      <c r="E310" s="39"/>
      <c r="F310" s="39"/>
      <c r="G310" s="65"/>
      <c r="H310" s="39"/>
      <c r="I310" s="39"/>
    </row>
    <row r="311">
      <c r="A311" s="64"/>
      <c r="B311" s="20"/>
      <c r="C311" s="39"/>
      <c r="D311" s="39"/>
      <c r="E311" s="39"/>
      <c r="F311" s="39"/>
      <c r="G311" s="65"/>
      <c r="H311" s="39"/>
      <c r="I311" s="39"/>
    </row>
    <row r="312">
      <c r="A312" s="64"/>
      <c r="B312" s="20"/>
      <c r="C312" s="39"/>
      <c r="D312" s="39"/>
      <c r="E312" s="39"/>
      <c r="F312" s="39"/>
      <c r="G312" s="65"/>
      <c r="H312" s="39"/>
      <c r="I312" s="39"/>
    </row>
    <row r="313">
      <c r="A313" s="64"/>
      <c r="B313" s="20"/>
      <c r="C313" s="39"/>
      <c r="D313" s="39"/>
      <c r="E313" s="39"/>
      <c r="F313" s="39"/>
      <c r="G313" s="65"/>
      <c r="H313" s="39"/>
      <c r="I313" s="39"/>
    </row>
    <row r="314">
      <c r="A314" s="64"/>
      <c r="B314" s="20"/>
      <c r="C314" s="39"/>
      <c r="D314" s="39"/>
      <c r="E314" s="39"/>
      <c r="F314" s="39"/>
      <c r="G314" s="65"/>
      <c r="H314" s="39"/>
      <c r="I314" s="39"/>
    </row>
    <row r="315">
      <c r="A315" s="64"/>
      <c r="B315" s="20"/>
      <c r="C315" s="39"/>
      <c r="D315" s="39"/>
      <c r="E315" s="39"/>
      <c r="F315" s="39"/>
      <c r="G315" s="65"/>
      <c r="H315" s="39"/>
      <c r="I315" s="39"/>
    </row>
    <row r="316">
      <c r="A316" s="64"/>
      <c r="B316" s="20"/>
      <c r="C316" s="39"/>
      <c r="D316" s="39"/>
      <c r="E316" s="39"/>
      <c r="F316" s="39"/>
      <c r="G316" s="65"/>
      <c r="H316" s="39"/>
      <c r="I316" s="39"/>
    </row>
    <row r="317">
      <c r="A317" s="64"/>
      <c r="B317" s="20"/>
      <c r="C317" s="39"/>
      <c r="D317" s="39"/>
      <c r="E317" s="39"/>
      <c r="F317" s="39"/>
      <c r="G317" s="65"/>
      <c r="H317" s="39"/>
      <c r="I317" s="39"/>
    </row>
    <row r="318">
      <c r="A318" s="64"/>
      <c r="B318" s="20"/>
      <c r="C318" s="39"/>
      <c r="D318" s="39"/>
      <c r="E318" s="39"/>
      <c r="F318" s="39"/>
      <c r="G318" s="65"/>
      <c r="H318" s="39"/>
      <c r="I318" s="39"/>
    </row>
    <row r="319">
      <c r="A319" s="64"/>
      <c r="B319" s="20"/>
      <c r="C319" s="39"/>
      <c r="D319" s="39"/>
      <c r="E319" s="39"/>
      <c r="F319" s="39"/>
      <c r="G319" s="65"/>
      <c r="H319" s="39"/>
      <c r="I319" s="39"/>
    </row>
    <row r="320">
      <c r="A320" s="64"/>
      <c r="B320" s="20"/>
      <c r="C320" s="39"/>
      <c r="D320" s="39"/>
      <c r="E320" s="39"/>
      <c r="F320" s="39"/>
      <c r="G320" s="65"/>
      <c r="H320" s="39"/>
      <c r="I320" s="39"/>
    </row>
    <row r="321">
      <c r="A321" s="64"/>
      <c r="B321" s="20"/>
      <c r="C321" s="39"/>
      <c r="D321" s="39"/>
      <c r="E321" s="39"/>
      <c r="F321" s="39"/>
      <c r="G321" s="65"/>
      <c r="H321" s="39"/>
      <c r="I321" s="39"/>
    </row>
    <row r="322">
      <c r="A322" s="64"/>
      <c r="B322" s="20"/>
      <c r="C322" s="39"/>
      <c r="D322" s="39"/>
      <c r="E322" s="39"/>
      <c r="F322" s="39"/>
      <c r="G322" s="65"/>
      <c r="H322" s="39"/>
      <c r="I322" s="39"/>
    </row>
    <row r="323">
      <c r="A323" s="64"/>
      <c r="B323" s="20"/>
      <c r="C323" s="39"/>
      <c r="D323" s="39"/>
      <c r="E323" s="39"/>
      <c r="F323" s="39"/>
      <c r="G323" s="65"/>
      <c r="H323" s="39"/>
      <c r="I323" s="39"/>
    </row>
    <row r="324">
      <c r="A324" s="64"/>
      <c r="B324" s="20"/>
      <c r="C324" s="39"/>
      <c r="D324" s="39"/>
      <c r="E324" s="39"/>
      <c r="F324" s="39"/>
      <c r="G324" s="65"/>
      <c r="H324" s="39"/>
      <c r="I324" s="39"/>
    </row>
    <row r="325">
      <c r="A325" s="64"/>
      <c r="B325" s="20"/>
      <c r="C325" s="39"/>
      <c r="D325" s="39"/>
      <c r="E325" s="39"/>
      <c r="F325" s="39"/>
      <c r="G325" s="65"/>
      <c r="H325" s="39"/>
      <c r="I325" s="39"/>
    </row>
    <row r="326">
      <c r="A326" s="64"/>
      <c r="B326" s="20"/>
      <c r="C326" s="39"/>
      <c r="D326" s="39"/>
      <c r="E326" s="39"/>
      <c r="F326" s="39"/>
      <c r="G326" s="65"/>
      <c r="H326" s="39"/>
      <c r="I326" s="39"/>
    </row>
    <row r="327">
      <c r="A327" s="64"/>
      <c r="B327" s="20"/>
      <c r="C327" s="39"/>
      <c r="D327" s="39"/>
      <c r="E327" s="39"/>
      <c r="F327" s="39"/>
      <c r="G327" s="65"/>
      <c r="H327" s="39"/>
      <c r="I327" s="39"/>
    </row>
    <row r="328">
      <c r="A328" s="64"/>
      <c r="B328" s="20"/>
      <c r="C328" s="39"/>
      <c r="D328" s="39"/>
      <c r="E328" s="39"/>
      <c r="F328" s="39"/>
      <c r="G328" s="65"/>
      <c r="H328" s="39"/>
      <c r="I328" s="39"/>
    </row>
    <row r="329">
      <c r="A329" s="64"/>
      <c r="B329" s="20"/>
      <c r="C329" s="39"/>
      <c r="D329" s="39"/>
      <c r="E329" s="39"/>
      <c r="F329" s="39"/>
      <c r="G329" s="65"/>
      <c r="H329" s="39"/>
      <c r="I329" s="39"/>
    </row>
    <row r="330">
      <c r="A330" s="64"/>
      <c r="B330" s="20"/>
      <c r="C330" s="39"/>
      <c r="D330" s="39"/>
      <c r="E330" s="39"/>
      <c r="F330" s="39"/>
      <c r="G330" s="65"/>
      <c r="H330" s="39"/>
      <c r="I330" s="39"/>
    </row>
    <row r="331">
      <c r="A331" s="64"/>
      <c r="B331" s="20"/>
      <c r="C331" s="39"/>
      <c r="D331" s="39"/>
      <c r="E331" s="39"/>
      <c r="F331" s="39"/>
      <c r="G331" s="65"/>
      <c r="H331" s="39"/>
      <c r="I331" s="39"/>
    </row>
    <row r="332">
      <c r="A332" s="64"/>
      <c r="B332" s="20"/>
      <c r="C332" s="39"/>
      <c r="D332" s="39"/>
      <c r="E332" s="39"/>
      <c r="F332" s="39"/>
      <c r="G332" s="65"/>
      <c r="H332" s="39"/>
      <c r="I332" s="39"/>
    </row>
    <row r="333">
      <c r="A333" s="64"/>
      <c r="B333" s="20"/>
      <c r="C333" s="39"/>
      <c r="D333" s="39"/>
      <c r="E333" s="39"/>
      <c r="F333" s="39"/>
      <c r="G333" s="65"/>
      <c r="H333" s="39"/>
      <c r="I333" s="39"/>
    </row>
    <row r="334">
      <c r="A334" s="64"/>
      <c r="B334" s="20"/>
      <c r="C334" s="39"/>
      <c r="D334" s="39"/>
      <c r="E334" s="39"/>
      <c r="F334" s="39"/>
      <c r="G334" s="65"/>
      <c r="H334" s="39"/>
      <c r="I334" s="39"/>
    </row>
    <row r="335">
      <c r="A335" s="64"/>
      <c r="B335" s="20"/>
      <c r="C335" s="39"/>
      <c r="D335" s="39"/>
      <c r="E335" s="39"/>
      <c r="F335" s="39"/>
      <c r="G335" s="65"/>
      <c r="H335" s="39"/>
      <c r="I335" s="39"/>
    </row>
    <row r="336">
      <c r="A336" s="64"/>
      <c r="B336" s="20"/>
      <c r="C336" s="39"/>
      <c r="D336" s="39"/>
      <c r="E336" s="39"/>
      <c r="F336" s="39"/>
      <c r="G336" s="65"/>
      <c r="H336" s="39"/>
      <c r="I336" s="39"/>
    </row>
    <row r="337">
      <c r="A337" s="64"/>
      <c r="B337" s="20"/>
      <c r="C337" s="39"/>
      <c r="D337" s="39"/>
      <c r="E337" s="39"/>
      <c r="F337" s="39"/>
      <c r="G337" s="65"/>
      <c r="H337" s="39"/>
      <c r="I337" s="39"/>
    </row>
    <row r="338">
      <c r="A338" s="64"/>
      <c r="B338" s="20"/>
      <c r="C338" s="39"/>
      <c r="D338" s="39"/>
      <c r="E338" s="39"/>
      <c r="F338" s="39"/>
      <c r="G338" s="65"/>
      <c r="H338" s="39"/>
      <c r="I338" s="39"/>
    </row>
    <row r="339">
      <c r="A339" s="64"/>
      <c r="B339" s="20"/>
      <c r="C339" s="39"/>
      <c r="D339" s="39"/>
      <c r="E339" s="39"/>
      <c r="F339" s="39"/>
      <c r="G339" s="65"/>
      <c r="H339" s="39"/>
      <c r="I339" s="39"/>
    </row>
    <row r="340">
      <c r="A340" s="64"/>
      <c r="B340" s="20"/>
      <c r="C340" s="39"/>
      <c r="D340" s="39"/>
      <c r="E340" s="39"/>
      <c r="F340" s="39"/>
      <c r="G340" s="65"/>
      <c r="H340" s="39"/>
      <c r="I340" s="39"/>
    </row>
    <row r="341">
      <c r="A341" s="64"/>
      <c r="B341" s="20"/>
      <c r="C341" s="39"/>
      <c r="D341" s="39"/>
      <c r="E341" s="39"/>
      <c r="F341" s="39"/>
      <c r="G341" s="65"/>
      <c r="H341" s="39"/>
      <c r="I341" s="39"/>
    </row>
    <row r="342">
      <c r="A342" s="64"/>
      <c r="B342" s="20"/>
      <c r="C342" s="39"/>
      <c r="D342" s="39"/>
      <c r="E342" s="39"/>
      <c r="F342" s="39"/>
      <c r="G342" s="65"/>
      <c r="H342" s="39"/>
      <c r="I342" s="39"/>
    </row>
    <row r="343">
      <c r="A343" s="64"/>
      <c r="B343" s="20"/>
      <c r="C343" s="39"/>
      <c r="D343" s="39"/>
      <c r="E343" s="39"/>
      <c r="F343" s="39"/>
      <c r="G343" s="65"/>
      <c r="H343" s="39"/>
      <c r="I343" s="39"/>
    </row>
    <row r="344">
      <c r="A344" s="64"/>
      <c r="B344" s="20"/>
      <c r="C344" s="39"/>
      <c r="D344" s="39"/>
      <c r="E344" s="39"/>
      <c r="F344" s="39"/>
      <c r="G344" s="65"/>
      <c r="H344" s="39"/>
      <c r="I344" s="39"/>
    </row>
    <row r="345">
      <c r="A345" s="64"/>
      <c r="B345" s="20"/>
      <c r="C345" s="39"/>
      <c r="D345" s="39"/>
      <c r="E345" s="39"/>
      <c r="F345" s="39"/>
      <c r="G345" s="65"/>
      <c r="H345" s="39"/>
      <c r="I345" s="39"/>
    </row>
    <row r="346">
      <c r="A346" s="64"/>
      <c r="B346" s="20"/>
      <c r="C346" s="39"/>
      <c r="D346" s="39"/>
      <c r="E346" s="39"/>
      <c r="F346" s="39"/>
      <c r="G346" s="65"/>
      <c r="H346" s="39"/>
      <c r="I346" s="39"/>
    </row>
    <row r="347">
      <c r="A347" s="64"/>
      <c r="B347" s="20"/>
      <c r="C347" s="39"/>
      <c r="D347" s="39"/>
      <c r="E347" s="39"/>
      <c r="F347" s="39"/>
      <c r="G347" s="65"/>
      <c r="H347" s="39"/>
      <c r="I347" s="39"/>
    </row>
    <row r="348">
      <c r="A348" s="64"/>
      <c r="B348" s="20"/>
      <c r="C348" s="39"/>
      <c r="D348" s="39"/>
      <c r="E348" s="39"/>
      <c r="F348" s="39"/>
      <c r="G348" s="65"/>
      <c r="H348" s="39"/>
      <c r="I348" s="39"/>
    </row>
    <row r="349">
      <c r="A349" s="64"/>
      <c r="B349" s="20"/>
      <c r="C349" s="39"/>
      <c r="D349" s="39"/>
      <c r="E349" s="39"/>
      <c r="F349" s="39"/>
      <c r="G349" s="65"/>
      <c r="H349" s="39"/>
      <c r="I349" s="39"/>
    </row>
    <row r="350">
      <c r="A350" s="64"/>
      <c r="B350" s="20"/>
      <c r="C350" s="39"/>
      <c r="D350" s="39"/>
      <c r="E350" s="39"/>
      <c r="F350" s="39"/>
      <c r="G350" s="65"/>
      <c r="H350" s="39"/>
      <c r="I350" s="39"/>
    </row>
    <row r="351">
      <c r="A351" s="64"/>
      <c r="B351" s="20"/>
      <c r="C351" s="39"/>
      <c r="D351" s="39"/>
      <c r="E351" s="39"/>
      <c r="F351" s="39"/>
      <c r="G351" s="65"/>
      <c r="H351" s="39"/>
      <c r="I351" s="39"/>
    </row>
    <row r="352">
      <c r="A352" s="64"/>
      <c r="B352" s="20"/>
      <c r="C352" s="39"/>
      <c r="D352" s="39"/>
      <c r="E352" s="39"/>
      <c r="F352" s="39"/>
      <c r="G352" s="65"/>
      <c r="H352" s="39"/>
      <c r="I352" s="39"/>
    </row>
    <row r="353">
      <c r="A353" s="64"/>
      <c r="B353" s="20"/>
      <c r="C353" s="39"/>
      <c r="D353" s="39"/>
      <c r="E353" s="39"/>
      <c r="F353" s="39"/>
      <c r="G353" s="65"/>
      <c r="H353" s="39"/>
      <c r="I353" s="39"/>
    </row>
    <row r="354">
      <c r="A354" s="64"/>
      <c r="B354" s="20"/>
      <c r="C354" s="39"/>
      <c r="D354" s="39"/>
      <c r="E354" s="39"/>
      <c r="F354" s="39"/>
      <c r="G354" s="65"/>
      <c r="H354" s="39"/>
      <c r="I354" s="39"/>
    </row>
    <row r="355">
      <c r="A355" s="64"/>
      <c r="B355" s="20"/>
      <c r="C355" s="39"/>
      <c r="D355" s="39"/>
      <c r="E355" s="39"/>
      <c r="F355" s="39"/>
      <c r="G355" s="65"/>
      <c r="H355" s="39"/>
      <c r="I355" s="39"/>
    </row>
    <row r="356">
      <c r="A356" s="64"/>
      <c r="B356" s="20"/>
      <c r="C356" s="39"/>
      <c r="D356" s="39"/>
      <c r="E356" s="39"/>
      <c r="F356" s="39"/>
      <c r="G356" s="65"/>
      <c r="H356" s="39"/>
      <c r="I356" s="39"/>
    </row>
    <row r="357">
      <c r="A357" s="64"/>
      <c r="B357" s="20"/>
      <c r="C357" s="39"/>
      <c r="D357" s="39"/>
      <c r="E357" s="39"/>
      <c r="F357" s="39"/>
      <c r="G357" s="65"/>
      <c r="H357" s="39"/>
      <c r="I357" s="39"/>
    </row>
    <row r="358">
      <c r="A358" s="64"/>
      <c r="B358" s="20"/>
      <c r="C358" s="39"/>
      <c r="D358" s="39"/>
      <c r="E358" s="39"/>
      <c r="F358" s="39"/>
      <c r="G358" s="65"/>
      <c r="H358" s="39"/>
      <c r="I358" s="39"/>
    </row>
    <row r="359">
      <c r="A359" s="64"/>
      <c r="B359" s="20"/>
      <c r="C359" s="39"/>
      <c r="D359" s="39"/>
      <c r="E359" s="39"/>
      <c r="F359" s="39"/>
      <c r="G359" s="65"/>
      <c r="H359" s="39"/>
      <c r="I359" s="39"/>
    </row>
    <row r="360">
      <c r="A360" s="64"/>
      <c r="B360" s="20"/>
      <c r="C360" s="39"/>
      <c r="D360" s="39"/>
      <c r="E360" s="39"/>
      <c r="F360" s="39"/>
      <c r="G360" s="65"/>
      <c r="H360" s="39"/>
      <c r="I360" s="39"/>
    </row>
    <row r="361">
      <c r="A361" s="64"/>
      <c r="B361" s="20"/>
      <c r="C361" s="39"/>
      <c r="D361" s="39"/>
      <c r="E361" s="39"/>
      <c r="F361" s="39"/>
      <c r="G361" s="65"/>
      <c r="H361" s="39"/>
      <c r="I361" s="39"/>
    </row>
    <row r="362">
      <c r="A362" s="64"/>
      <c r="B362" s="20"/>
      <c r="C362" s="39"/>
      <c r="D362" s="39"/>
      <c r="E362" s="39"/>
      <c r="F362" s="39"/>
      <c r="G362" s="65"/>
      <c r="H362" s="39"/>
      <c r="I362" s="39"/>
    </row>
    <row r="363">
      <c r="A363" s="64"/>
      <c r="B363" s="20"/>
      <c r="C363" s="39"/>
      <c r="D363" s="39"/>
      <c r="E363" s="39"/>
      <c r="F363" s="39"/>
      <c r="G363" s="65"/>
      <c r="H363" s="39"/>
      <c r="I363" s="39"/>
    </row>
    <row r="364">
      <c r="A364" s="64"/>
      <c r="B364" s="20"/>
      <c r="C364" s="39"/>
      <c r="D364" s="39"/>
      <c r="E364" s="39"/>
      <c r="F364" s="39"/>
      <c r="G364" s="65"/>
      <c r="H364" s="39"/>
      <c r="I364" s="39"/>
    </row>
    <row r="365">
      <c r="A365" s="64"/>
      <c r="B365" s="20"/>
      <c r="C365" s="39"/>
      <c r="D365" s="39"/>
      <c r="E365" s="39"/>
      <c r="F365" s="39"/>
      <c r="G365" s="65"/>
      <c r="H365" s="39"/>
      <c r="I365" s="39"/>
    </row>
    <row r="366">
      <c r="A366" s="64"/>
      <c r="B366" s="20"/>
      <c r="C366" s="39"/>
      <c r="D366" s="39"/>
      <c r="E366" s="39"/>
      <c r="F366" s="39"/>
      <c r="G366" s="65"/>
      <c r="H366" s="39"/>
      <c r="I366" s="39"/>
    </row>
    <row r="367">
      <c r="A367" s="64"/>
      <c r="B367" s="20"/>
      <c r="C367" s="39"/>
      <c r="D367" s="39"/>
      <c r="E367" s="39"/>
      <c r="F367" s="39"/>
      <c r="G367" s="65"/>
      <c r="H367" s="39"/>
      <c r="I367" s="39"/>
    </row>
    <row r="368">
      <c r="A368" s="64"/>
      <c r="B368" s="20"/>
      <c r="C368" s="39"/>
      <c r="D368" s="39"/>
      <c r="E368" s="39"/>
      <c r="F368" s="39"/>
      <c r="G368" s="65"/>
      <c r="H368" s="39"/>
      <c r="I368" s="39"/>
    </row>
    <row r="369">
      <c r="A369" s="64"/>
      <c r="B369" s="20"/>
      <c r="C369" s="39"/>
      <c r="D369" s="39"/>
      <c r="E369" s="39"/>
      <c r="F369" s="39"/>
      <c r="G369" s="65"/>
      <c r="H369" s="39"/>
      <c r="I369" s="39"/>
    </row>
    <row r="370">
      <c r="A370" s="64"/>
      <c r="B370" s="20"/>
      <c r="C370" s="39"/>
      <c r="D370" s="39"/>
      <c r="E370" s="39"/>
      <c r="F370" s="39"/>
      <c r="G370" s="65"/>
      <c r="H370" s="39"/>
      <c r="I370" s="39"/>
    </row>
    <row r="371">
      <c r="A371" s="64"/>
      <c r="B371" s="20"/>
      <c r="C371" s="39"/>
      <c r="D371" s="39"/>
      <c r="E371" s="39"/>
      <c r="F371" s="39"/>
      <c r="G371" s="65"/>
      <c r="H371" s="39"/>
      <c r="I371" s="39"/>
    </row>
    <row r="372">
      <c r="A372" s="64"/>
      <c r="B372" s="20"/>
      <c r="C372" s="39"/>
      <c r="D372" s="39"/>
      <c r="E372" s="39"/>
      <c r="F372" s="39"/>
      <c r="G372" s="65"/>
      <c r="H372" s="39"/>
      <c r="I372" s="39"/>
    </row>
    <row r="373">
      <c r="A373" s="64"/>
      <c r="B373" s="20"/>
      <c r="C373" s="39"/>
      <c r="D373" s="39"/>
      <c r="E373" s="39"/>
      <c r="F373" s="39"/>
      <c r="G373" s="65"/>
      <c r="H373" s="39"/>
      <c r="I373" s="39"/>
    </row>
    <row r="374">
      <c r="A374" s="64"/>
      <c r="B374" s="20"/>
      <c r="C374" s="39"/>
      <c r="D374" s="39"/>
      <c r="E374" s="39"/>
      <c r="F374" s="39"/>
      <c r="G374" s="65"/>
      <c r="H374" s="39"/>
      <c r="I374" s="39"/>
    </row>
    <row r="375">
      <c r="A375" s="64"/>
      <c r="B375" s="20"/>
      <c r="C375" s="39"/>
      <c r="D375" s="39"/>
      <c r="E375" s="39"/>
      <c r="F375" s="39"/>
      <c r="G375" s="65"/>
      <c r="H375" s="39"/>
      <c r="I375" s="39"/>
    </row>
    <row r="376">
      <c r="A376" s="64"/>
      <c r="B376" s="20"/>
      <c r="C376" s="39"/>
      <c r="D376" s="39"/>
      <c r="E376" s="39"/>
      <c r="F376" s="39"/>
      <c r="G376" s="65"/>
      <c r="H376" s="39"/>
      <c r="I376" s="39"/>
    </row>
    <row r="377">
      <c r="A377" s="64"/>
      <c r="B377" s="20"/>
      <c r="C377" s="39"/>
      <c r="D377" s="39"/>
      <c r="E377" s="39"/>
      <c r="F377" s="39"/>
      <c r="G377" s="65"/>
      <c r="H377" s="39"/>
      <c r="I377" s="39"/>
    </row>
    <row r="378">
      <c r="A378" s="64"/>
      <c r="B378" s="20"/>
      <c r="C378" s="39"/>
      <c r="D378" s="39"/>
      <c r="E378" s="39"/>
      <c r="F378" s="39"/>
      <c r="G378" s="65"/>
      <c r="H378" s="39"/>
      <c r="I378" s="39"/>
    </row>
    <row r="379">
      <c r="A379" s="64"/>
      <c r="B379" s="20"/>
      <c r="C379" s="39"/>
      <c r="D379" s="39"/>
      <c r="E379" s="39"/>
      <c r="F379" s="39"/>
      <c r="G379" s="65"/>
      <c r="H379" s="39"/>
      <c r="I379" s="39"/>
    </row>
    <row r="380">
      <c r="A380" s="64"/>
      <c r="B380" s="20"/>
      <c r="C380" s="39"/>
      <c r="D380" s="39"/>
      <c r="E380" s="39"/>
      <c r="F380" s="39"/>
      <c r="G380" s="65"/>
      <c r="H380" s="39"/>
      <c r="I380" s="39"/>
    </row>
    <row r="381">
      <c r="A381" s="64"/>
      <c r="B381" s="20"/>
      <c r="C381" s="39"/>
      <c r="D381" s="39"/>
      <c r="E381" s="39"/>
      <c r="F381" s="39"/>
      <c r="G381" s="65"/>
      <c r="H381" s="39"/>
      <c r="I381" s="39"/>
    </row>
    <row r="382">
      <c r="A382" s="64"/>
      <c r="B382" s="20"/>
      <c r="C382" s="39"/>
      <c r="D382" s="39"/>
      <c r="E382" s="39"/>
      <c r="F382" s="39"/>
      <c r="G382" s="65"/>
      <c r="H382" s="39"/>
      <c r="I382" s="39"/>
    </row>
    <row r="383">
      <c r="A383" s="64"/>
      <c r="B383" s="20"/>
      <c r="C383" s="39"/>
      <c r="D383" s="39"/>
      <c r="E383" s="39"/>
      <c r="F383" s="39"/>
      <c r="G383" s="65"/>
      <c r="H383" s="39"/>
      <c r="I383" s="39"/>
    </row>
    <row r="384">
      <c r="A384" s="64"/>
      <c r="B384" s="20"/>
      <c r="C384" s="39"/>
      <c r="D384" s="39"/>
      <c r="E384" s="39"/>
      <c r="F384" s="39"/>
      <c r="G384" s="65"/>
      <c r="H384" s="39"/>
      <c r="I384" s="39"/>
    </row>
    <row r="385">
      <c r="A385" s="64"/>
      <c r="B385" s="20"/>
      <c r="C385" s="39"/>
      <c r="D385" s="39"/>
      <c r="E385" s="39"/>
      <c r="F385" s="39"/>
      <c r="G385" s="65"/>
      <c r="H385" s="39"/>
      <c r="I385" s="39"/>
    </row>
    <row r="386">
      <c r="A386" s="64"/>
      <c r="B386" s="20"/>
      <c r="C386" s="39"/>
      <c r="D386" s="39"/>
      <c r="E386" s="39"/>
      <c r="F386" s="39"/>
      <c r="G386" s="65"/>
      <c r="H386" s="39"/>
      <c r="I386" s="39"/>
    </row>
    <row r="387">
      <c r="A387" s="64"/>
      <c r="B387" s="20"/>
      <c r="C387" s="39"/>
      <c r="D387" s="39"/>
      <c r="E387" s="39"/>
      <c r="F387" s="39"/>
      <c r="G387" s="65"/>
      <c r="H387" s="39"/>
      <c r="I387" s="39"/>
    </row>
    <row r="388">
      <c r="A388" s="64"/>
      <c r="B388" s="20"/>
      <c r="C388" s="39"/>
      <c r="D388" s="39"/>
      <c r="E388" s="39"/>
      <c r="F388" s="39"/>
      <c r="G388" s="65"/>
      <c r="H388" s="39"/>
      <c r="I388" s="39"/>
    </row>
    <row r="389">
      <c r="A389" s="64"/>
      <c r="B389" s="20"/>
      <c r="C389" s="39"/>
      <c r="D389" s="39"/>
      <c r="E389" s="39"/>
      <c r="F389" s="39"/>
      <c r="G389" s="65"/>
      <c r="H389" s="39"/>
      <c r="I389" s="39"/>
    </row>
    <row r="390">
      <c r="A390" s="64"/>
      <c r="B390" s="20"/>
      <c r="C390" s="39"/>
      <c r="D390" s="39"/>
      <c r="E390" s="39"/>
      <c r="F390" s="39"/>
      <c r="G390" s="65"/>
      <c r="H390" s="39"/>
      <c r="I390" s="39"/>
    </row>
    <row r="391">
      <c r="A391" s="64"/>
      <c r="B391" s="20"/>
      <c r="C391" s="39"/>
      <c r="D391" s="39"/>
      <c r="E391" s="39"/>
      <c r="F391" s="39"/>
      <c r="G391" s="65"/>
      <c r="H391" s="39"/>
      <c r="I391" s="39"/>
    </row>
    <row r="392">
      <c r="A392" s="64"/>
      <c r="B392" s="20"/>
      <c r="C392" s="39"/>
      <c r="D392" s="39"/>
      <c r="E392" s="39"/>
      <c r="F392" s="39"/>
      <c r="G392" s="65"/>
      <c r="H392" s="39"/>
      <c r="I392" s="39"/>
    </row>
    <row r="393">
      <c r="A393" s="64"/>
      <c r="B393" s="20"/>
      <c r="C393" s="39"/>
      <c r="D393" s="39"/>
      <c r="E393" s="39"/>
      <c r="F393" s="39"/>
      <c r="G393" s="65"/>
      <c r="H393" s="39"/>
      <c r="I393" s="39"/>
    </row>
    <row r="394">
      <c r="A394" s="64"/>
      <c r="B394" s="20"/>
      <c r="C394" s="39"/>
      <c r="D394" s="39"/>
      <c r="E394" s="39"/>
      <c r="F394" s="39"/>
      <c r="G394" s="65"/>
      <c r="H394" s="39"/>
      <c r="I394" s="39"/>
    </row>
    <row r="395">
      <c r="A395" s="64"/>
      <c r="B395" s="20"/>
      <c r="C395" s="39"/>
      <c r="D395" s="39"/>
      <c r="E395" s="39"/>
      <c r="F395" s="39"/>
      <c r="G395" s="65"/>
      <c r="H395" s="39"/>
      <c r="I395" s="39"/>
    </row>
    <row r="396">
      <c r="A396" s="64"/>
      <c r="B396" s="20"/>
      <c r="C396" s="39"/>
      <c r="D396" s="39"/>
      <c r="E396" s="39"/>
      <c r="F396" s="39"/>
      <c r="G396" s="65"/>
      <c r="H396" s="39"/>
      <c r="I396" s="39"/>
    </row>
    <row r="397">
      <c r="A397" s="64"/>
      <c r="B397" s="20"/>
      <c r="C397" s="39"/>
      <c r="D397" s="39"/>
      <c r="E397" s="39"/>
      <c r="F397" s="39"/>
      <c r="G397" s="65"/>
      <c r="H397" s="39"/>
      <c r="I397" s="39"/>
    </row>
    <row r="398">
      <c r="A398" s="64"/>
      <c r="B398" s="20"/>
      <c r="C398" s="39"/>
      <c r="D398" s="39"/>
      <c r="E398" s="39"/>
      <c r="F398" s="39"/>
      <c r="G398" s="65"/>
      <c r="H398" s="39"/>
      <c r="I398" s="39"/>
    </row>
    <row r="399">
      <c r="A399" s="64"/>
      <c r="B399" s="20"/>
      <c r="C399" s="39"/>
      <c r="D399" s="39"/>
      <c r="E399" s="39"/>
      <c r="F399" s="39"/>
      <c r="G399" s="65"/>
      <c r="H399" s="39"/>
      <c r="I399" s="39"/>
    </row>
    <row r="400">
      <c r="A400" s="64"/>
      <c r="B400" s="20"/>
      <c r="C400" s="39"/>
      <c r="D400" s="39"/>
      <c r="E400" s="39"/>
      <c r="F400" s="39"/>
      <c r="G400" s="65"/>
      <c r="H400" s="39"/>
      <c r="I400" s="39"/>
    </row>
    <row r="401">
      <c r="A401" s="64"/>
      <c r="B401" s="20"/>
      <c r="C401" s="39"/>
      <c r="D401" s="39"/>
      <c r="E401" s="39"/>
      <c r="F401" s="39"/>
      <c r="G401" s="65"/>
      <c r="H401" s="39"/>
      <c r="I401" s="39"/>
    </row>
    <row r="402">
      <c r="A402" s="64"/>
      <c r="B402" s="20"/>
      <c r="C402" s="39"/>
      <c r="D402" s="39"/>
      <c r="E402" s="39"/>
      <c r="F402" s="39"/>
      <c r="G402" s="65"/>
      <c r="H402" s="39"/>
      <c r="I402" s="39"/>
    </row>
    <row r="403">
      <c r="A403" s="64"/>
      <c r="B403" s="20"/>
      <c r="C403" s="39"/>
      <c r="D403" s="39"/>
      <c r="E403" s="39"/>
      <c r="F403" s="39"/>
      <c r="G403" s="65"/>
      <c r="H403" s="39"/>
      <c r="I403" s="39"/>
    </row>
    <row r="404">
      <c r="A404" s="64"/>
      <c r="B404" s="20"/>
      <c r="C404" s="39"/>
      <c r="D404" s="39"/>
      <c r="E404" s="39"/>
      <c r="F404" s="39"/>
      <c r="G404" s="65"/>
      <c r="H404" s="39"/>
      <c r="I404" s="39"/>
    </row>
    <row r="405">
      <c r="A405" s="64"/>
      <c r="B405" s="20"/>
      <c r="C405" s="39"/>
      <c r="D405" s="39"/>
      <c r="E405" s="39"/>
      <c r="F405" s="39"/>
      <c r="G405" s="65"/>
      <c r="H405" s="39"/>
      <c r="I405" s="39"/>
    </row>
    <row r="406">
      <c r="A406" s="64"/>
      <c r="B406" s="20"/>
      <c r="C406" s="39"/>
      <c r="D406" s="39"/>
      <c r="E406" s="39"/>
      <c r="F406" s="39"/>
      <c r="G406" s="65"/>
      <c r="H406" s="39"/>
      <c r="I406" s="39"/>
    </row>
    <row r="407">
      <c r="A407" s="64"/>
      <c r="B407" s="20"/>
      <c r="C407" s="39"/>
      <c r="D407" s="39"/>
      <c r="E407" s="39"/>
      <c r="F407" s="39"/>
      <c r="G407" s="65"/>
      <c r="H407" s="39"/>
      <c r="I407" s="39"/>
    </row>
    <row r="408">
      <c r="A408" s="64"/>
      <c r="B408" s="20"/>
      <c r="C408" s="39"/>
      <c r="D408" s="39"/>
      <c r="E408" s="39"/>
      <c r="F408" s="39"/>
      <c r="G408" s="65"/>
      <c r="H408" s="39"/>
      <c r="I408" s="39"/>
    </row>
    <row r="409">
      <c r="A409" s="64"/>
      <c r="B409" s="20"/>
      <c r="C409" s="39"/>
      <c r="D409" s="39"/>
      <c r="E409" s="39"/>
      <c r="F409" s="39"/>
      <c r="G409" s="65"/>
      <c r="H409" s="39"/>
      <c r="I409" s="39"/>
    </row>
    <row r="410">
      <c r="A410" s="64"/>
      <c r="B410" s="20"/>
      <c r="C410" s="39"/>
      <c r="D410" s="39"/>
      <c r="E410" s="39"/>
      <c r="F410" s="39"/>
      <c r="G410" s="65"/>
      <c r="H410" s="39"/>
      <c r="I410" s="39"/>
    </row>
    <row r="411">
      <c r="A411" s="64"/>
      <c r="B411" s="20"/>
      <c r="C411" s="39"/>
      <c r="D411" s="39"/>
      <c r="E411" s="39"/>
      <c r="F411" s="39"/>
      <c r="G411" s="65"/>
      <c r="H411" s="39"/>
      <c r="I411" s="39"/>
    </row>
    <row r="412">
      <c r="A412" s="64"/>
      <c r="B412" s="20"/>
      <c r="C412" s="39"/>
      <c r="D412" s="39"/>
      <c r="E412" s="39"/>
      <c r="F412" s="39"/>
      <c r="G412" s="65"/>
      <c r="H412" s="39"/>
      <c r="I412" s="39"/>
    </row>
    <row r="413">
      <c r="A413" s="64"/>
      <c r="B413" s="20"/>
      <c r="C413" s="39"/>
      <c r="D413" s="39"/>
      <c r="E413" s="39"/>
      <c r="F413" s="39"/>
      <c r="G413" s="65"/>
      <c r="H413" s="39"/>
      <c r="I413" s="39"/>
    </row>
    <row r="414">
      <c r="A414" s="64"/>
      <c r="B414" s="20"/>
      <c r="C414" s="39"/>
      <c r="D414" s="39"/>
      <c r="E414" s="39"/>
      <c r="F414" s="39"/>
      <c r="G414" s="65"/>
      <c r="H414" s="39"/>
      <c r="I414" s="39"/>
    </row>
    <row r="415">
      <c r="A415" s="64"/>
      <c r="B415" s="20"/>
      <c r="C415" s="39"/>
      <c r="D415" s="39"/>
      <c r="E415" s="39"/>
      <c r="F415" s="39"/>
      <c r="G415" s="65"/>
      <c r="H415" s="39"/>
      <c r="I415" s="39"/>
    </row>
    <row r="416">
      <c r="A416" s="64"/>
      <c r="B416" s="20"/>
      <c r="C416" s="39"/>
      <c r="D416" s="39"/>
      <c r="E416" s="39"/>
      <c r="F416" s="39"/>
      <c r="G416" s="65"/>
      <c r="H416" s="39"/>
      <c r="I416" s="39"/>
    </row>
    <row r="417">
      <c r="A417" s="64"/>
      <c r="B417" s="20"/>
      <c r="C417" s="39"/>
      <c r="D417" s="39"/>
      <c r="E417" s="39"/>
      <c r="F417" s="39"/>
      <c r="G417" s="65"/>
      <c r="H417" s="39"/>
      <c r="I417" s="39"/>
    </row>
    <row r="418">
      <c r="A418" s="64"/>
      <c r="B418" s="20"/>
      <c r="C418" s="39"/>
      <c r="D418" s="39"/>
      <c r="E418" s="39"/>
      <c r="F418" s="39"/>
      <c r="G418" s="65"/>
      <c r="H418" s="39"/>
      <c r="I418" s="39"/>
    </row>
    <row r="419">
      <c r="A419" s="64"/>
      <c r="B419" s="20"/>
      <c r="C419" s="39"/>
      <c r="D419" s="39"/>
      <c r="E419" s="39"/>
      <c r="F419" s="39"/>
      <c r="G419" s="65"/>
      <c r="H419" s="39"/>
      <c r="I419" s="39"/>
    </row>
    <row r="420">
      <c r="A420" s="64"/>
      <c r="B420" s="20"/>
      <c r="C420" s="39"/>
      <c r="D420" s="39"/>
      <c r="E420" s="39"/>
      <c r="F420" s="39"/>
      <c r="G420" s="65"/>
      <c r="H420" s="39"/>
      <c r="I420" s="39"/>
    </row>
    <row r="421">
      <c r="A421" s="64"/>
      <c r="B421" s="20"/>
      <c r="C421" s="39"/>
      <c r="D421" s="39"/>
      <c r="E421" s="39"/>
      <c r="F421" s="39"/>
      <c r="G421" s="65"/>
      <c r="H421" s="39"/>
      <c r="I421" s="39"/>
    </row>
    <row r="422">
      <c r="A422" s="64"/>
      <c r="B422" s="20"/>
      <c r="C422" s="39"/>
      <c r="D422" s="39"/>
      <c r="E422" s="39"/>
      <c r="F422" s="39"/>
      <c r="G422" s="65"/>
      <c r="H422" s="39"/>
      <c r="I422" s="39"/>
    </row>
    <row r="423">
      <c r="A423" s="64"/>
      <c r="B423" s="20"/>
      <c r="C423" s="39"/>
      <c r="D423" s="39"/>
      <c r="E423" s="39"/>
      <c r="F423" s="39"/>
      <c r="G423" s="65"/>
      <c r="H423" s="39"/>
      <c r="I423" s="39"/>
    </row>
    <row r="424">
      <c r="A424" s="64"/>
      <c r="B424" s="20"/>
      <c r="C424" s="39"/>
      <c r="D424" s="39"/>
      <c r="E424" s="39"/>
      <c r="F424" s="39"/>
      <c r="G424" s="65"/>
      <c r="H424" s="39"/>
      <c r="I424" s="39"/>
    </row>
    <row r="425">
      <c r="A425" s="64"/>
      <c r="B425" s="20"/>
      <c r="C425" s="39"/>
      <c r="D425" s="39"/>
      <c r="E425" s="39"/>
      <c r="F425" s="39"/>
      <c r="G425" s="65"/>
      <c r="H425" s="39"/>
      <c r="I425" s="39"/>
    </row>
    <row r="426">
      <c r="A426" s="64"/>
      <c r="B426" s="20"/>
      <c r="C426" s="39"/>
      <c r="D426" s="39"/>
      <c r="E426" s="39"/>
      <c r="F426" s="39"/>
      <c r="G426" s="65"/>
      <c r="H426" s="39"/>
      <c r="I426" s="39"/>
    </row>
    <row r="427">
      <c r="A427" s="64"/>
      <c r="B427" s="20"/>
      <c r="C427" s="39"/>
      <c r="D427" s="39"/>
      <c r="E427" s="39"/>
      <c r="F427" s="39"/>
      <c r="G427" s="65"/>
      <c r="H427" s="39"/>
      <c r="I427" s="39"/>
    </row>
    <row r="428">
      <c r="A428" s="64"/>
      <c r="B428" s="20"/>
      <c r="C428" s="39"/>
      <c r="D428" s="39"/>
      <c r="E428" s="39"/>
      <c r="F428" s="39"/>
      <c r="G428" s="65"/>
      <c r="H428" s="39"/>
      <c r="I428" s="39"/>
    </row>
    <row r="429">
      <c r="A429" s="64"/>
      <c r="B429" s="20"/>
      <c r="C429" s="39"/>
      <c r="D429" s="39"/>
      <c r="E429" s="39"/>
      <c r="F429" s="39"/>
      <c r="G429" s="65"/>
      <c r="H429" s="39"/>
      <c r="I429" s="39"/>
    </row>
    <row r="430">
      <c r="A430" s="64"/>
      <c r="B430" s="20"/>
      <c r="C430" s="39"/>
      <c r="D430" s="39"/>
      <c r="E430" s="39"/>
      <c r="F430" s="39"/>
      <c r="G430" s="65"/>
      <c r="H430" s="39"/>
      <c r="I430" s="39"/>
    </row>
    <row r="431">
      <c r="A431" s="64"/>
      <c r="B431" s="20"/>
      <c r="C431" s="39"/>
      <c r="D431" s="39"/>
      <c r="E431" s="39"/>
      <c r="F431" s="39"/>
      <c r="G431" s="65"/>
      <c r="H431" s="39"/>
      <c r="I431" s="39"/>
    </row>
    <row r="432">
      <c r="A432" s="64"/>
      <c r="B432" s="20"/>
      <c r="C432" s="39"/>
      <c r="D432" s="39"/>
      <c r="E432" s="39"/>
      <c r="F432" s="39"/>
      <c r="G432" s="65"/>
      <c r="H432" s="39"/>
      <c r="I432" s="39"/>
    </row>
    <row r="433">
      <c r="A433" s="64"/>
      <c r="B433" s="20"/>
      <c r="C433" s="39"/>
      <c r="D433" s="39"/>
      <c r="E433" s="39"/>
      <c r="F433" s="39"/>
      <c r="G433" s="65"/>
      <c r="H433" s="39"/>
      <c r="I433" s="39"/>
    </row>
    <row r="434">
      <c r="A434" s="64"/>
      <c r="B434" s="20"/>
      <c r="C434" s="39"/>
      <c r="D434" s="39"/>
      <c r="E434" s="39"/>
      <c r="F434" s="39"/>
      <c r="G434" s="65"/>
      <c r="H434" s="39"/>
      <c r="I434" s="39"/>
    </row>
    <row r="435">
      <c r="A435" s="64"/>
      <c r="B435" s="20"/>
      <c r="C435" s="39"/>
      <c r="D435" s="39"/>
      <c r="E435" s="39"/>
      <c r="F435" s="39"/>
      <c r="G435" s="65"/>
      <c r="H435" s="39"/>
      <c r="I435" s="39"/>
    </row>
    <row r="436">
      <c r="A436" s="64"/>
      <c r="B436" s="20"/>
      <c r="C436" s="39"/>
      <c r="D436" s="39"/>
      <c r="E436" s="39"/>
      <c r="F436" s="39"/>
      <c r="G436" s="65"/>
      <c r="H436" s="39"/>
      <c r="I436" s="39"/>
    </row>
    <row r="437">
      <c r="A437" s="64"/>
      <c r="B437" s="20"/>
      <c r="C437" s="39"/>
      <c r="D437" s="39"/>
      <c r="E437" s="39"/>
      <c r="F437" s="39"/>
      <c r="G437" s="65"/>
      <c r="H437" s="39"/>
      <c r="I437" s="39"/>
    </row>
    <row r="438">
      <c r="A438" s="64"/>
      <c r="B438" s="20"/>
      <c r="C438" s="39"/>
      <c r="D438" s="39"/>
      <c r="E438" s="39"/>
      <c r="F438" s="39"/>
      <c r="G438" s="65"/>
      <c r="H438" s="39"/>
      <c r="I438" s="39"/>
    </row>
    <row r="439">
      <c r="A439" s="64"/>
      <c r="B439" s="20"/>
      <c r="C439" s="39"/>
      <c r="D439" s="39"/>
      <c r="E439" s="39"/>
      <c r="F439" s="39"/>
      <c r="G439" s="65"/>
      <c r="H439" s="39"/>
      <c r="I439" s="39"/>
    </row>
    <row r="440">
      <c r="A440" s="64"/>
      <c r="B440" s="20"/>
      <c r="C440" s="39"/>
      <c r="D440" s="39"/>
      <c r="E440" s="39"/>
      <c r="F440" s="39"/>
      <c r="G440" s="65"/>
      <c r="H440" s="39"/>
      <c r="I440" s="39"/>
    </row>
    <row r="441">
      <c r="A441" s="64"/>
      <c r="B441" s="20"/>
      <c r="C441" s="39"/>
      <c r="D441" s="39"/>
      <c r="E441" s="39"/>
      <c r="F441" s="39"/>
      <c r="G441" s="65"/>
      <c r="H441" s="39"/>
      <c r="I441" s="39"/>
    </row>
    <row r="442">
      <c r="A442" s="64"/>
      <c r="B442" s="20"/>
      <c r="C442" s="39"/>
      <c r="D442" s="39"/>
      <c r="E442" s="39"/>
      <c r="F442" s="39"/>
      <c r="G442" s="65"/>
      <c r="H442" s="39"/>
      <c r="I442" s="39"/>
    </row>
    <row r="443">
      <c r="A443" s="64"/>
      <c r="B443" s="20"/>
      <c r="C443" s="39"/>
      <c r="D443" s="39"/>
      <c r="E443" s="39"/>
      <c r="F443" s="39"/>
      <c r="G443" s="65"/>
      <c r="H443" s="39"/>
      <c r="I443" s="39"/>
    </row>
    <row r="444">
      <c r="A444" s="64"/>
      <c r="B444" s="20"/>
      <c r="C444" s="39"/>
      <c r="D444" s="39"/>
      <c r="E444" s="39"/>
      <c r="F444" s="39"/>
      <c r="G444" s="65"/>
      <c r="H444" s="39"/>
      <c r="I444" s="39"/>
    </row>
    <row r="445">
      <c r="A445" s="64"/>
      <c r="B445" s="20"/>
      <c r="C445" s="39"/>
      <c r="D445" s="39"/>
      <c r="E445" s="39"/>
      <c r="F445" s="39"/>
      <c r="G445" s="65"/>
      <c r="H445" s="39"/>
      <c r="I445" s="39"/>
    </row>
    <row r="446">
      <c r="A446" s="64"/>
      <c r="B446" s="20"/>
      <c r="C446" s="39"/>
      <c r="D446" s="39"/>
      <c r="E446" s="39"/>
      <c r="F446" s="39"/>
      <c r="G446" s="65"/>
      <c r="H446" s="39"/>
      <c r="I446" s="39"/>
    </row>
    <row r="447">
      <c r="A447" s="64"/>
      <c r="B447" s="20"/>
      <c r="C447" s="39"/>
      <c r="D447" s="39"/>
      <c r="E447" s="39"/>
      <c r="F447" s="39"/>
      <c r="G447" s="65"/>
      <c r="H447" s="39"/>
      <c r="I447" s="39"/>
    </row>
    <row r="448">
      <c r="A448" s="64"/>
      <c r="B448" s="20"/>
      <c r="C448" s="39"/>
      <c r="D448" s="39"/>
      <c r="E448" s="39"/>
      <c r="F448" s="39"/>
      <c r="G448" s="65"/>
      <c r="H448" s="39"/>
      <c r="I448" s="39"/>
    </row>
    <row r="449">
      <c r="A449" s="64"/>
      <c r="B449" s="20"/>
      <c r="C449" s="39"/>
      <c r="D449" s="39"/>
      <c r="E449" s="39"/>
      <c r="F449" s="39"/>
      <c r="G449" s="65"/>
      <c r="H449" s="39"/>
      <c r="I449" s="39"/>
    </row>
    <row r="450">
      <c r="A450" s="64"/>
      <c r="B450" s="20"/>
      <c r="C450" s="39"/>
      <c r="D450" s="39"/>
      <c r="E450" s="39"/>
      <c r="F450" s="39"/>
      <c r="G450" s="65"/>
      <c r="H450" s="39"/>
      <c r="I450" s="39"/>
    </row>
    <row r="451">
      <c r="A451" s="64"/>
      <c r="B451" s="20"/>
      <c r="C451" s="39"/>
      <c r="D451" s="39"/>
      <c r="E451" s="39"/>
      <c r="F451" s="39"/>
      <c r="G451" s="65"/>
      <c r="H451" s="39"/>
      <c r="I451" s="39"/>
    </row>
    <row r="452">
      <c r="A452" s="64"/>
      <c r="B452" s="20"/>
      <c r="C452" s="39"/>
      <c r="D452" s="39"/>
      <c r="E452" s="39"/>
      <c r="F452" s="39"/>
      <c r="G452" s="65"/>
      <c r="H452" s="39"/>
      <c r="I452" s="39"/>
    </row>
    <row r="453">
      <c r="A453" s="64"/>
      <c r="B453" s="20"/>
      <c r="C453" s="39"/>
      <c r="D453" s="39"/>
      <c r="E453" s="39"/>
      <c r="F453" s="39"/>
      <c r="G453" s="65"/>
      <c r="H453" s="39"/>
      <c r="I453" s="39"/>
    </row>
    <row r="454">
      <c r="A454" s="64"/>
      <c r="B454" s="20"/>
      <c r="C454" s="39"/>
      <c r="D454" s="39"/>
      <c r="E454" s="39"/>
      <c r="F454" s="39"/>
      <c r="G454" s="65"/>
      <c r="H454" s="39"/>
      <c r="I454" s="39"/>
    </row>
    <row r="455">
      <c r="A455" s="64"/>
      <c r="B455" s="20"/>
      <c r="C455" s="39"/>
      <c r="D455" s="39"/>
      <c r="E455" s="39"/>
      <c r="F455" s="39"/>
      <c r="G455" s="65"/>
      <c r="H455" s="39"/>
      <c r="I455" s="39"/>
    </row>
    <row r="456">
      <c r="A456" s="64"/>
      <c r="B456" s="20"/>
      <c r="C456" s="39"/>
      <c r="D456" s="39"/>
      <c r="E456" s="39"/>
      <c r="F456" s="39"/>
      <c r="G456" s="65"/>
      <c r="H456" s="39"/>
      <c r="I456" s="39"/>
    </row>
    <row r="457">
      <c r="A457" s="64"/>
      <c r="B457" s="20"/>
      <c r="C457" s="39"/>
      <c r="D457" s="39"/>
      <c r="E457" s="39"/>
      <c r="F457" s="39"/>
      <c r="G457" s="65"/>
      <c r="H457" s="39"/>
      <c r="I457" s="39"/>
    </row>
    <row r="458">
      <c r="A458" s="64"/>
      <c r="B458" s="20"/>
      <c r="C458" s="39"/>
      <c r="D458" s="39"/>
      <c r="E458" s="39"/>
      <c r="F458" s="39"/>
      <c r="G458" s="65"/>
      <c r="H458" s="39"/>
      <c r="I458" s="39"/>
    </row>
    <row r="459">
      <c r="A459" s="64"/>
      <c r="B459" s="20"/>
      <c r="C459" s="39"/>
      <c r="D459" s="39"/>
      <c r="E459" s="39"/>
      <c r="F459" s="39"/>
      <c r="G459" s="65"/>
      <c r="H459" s="39"/>
      <c r="I459" s="39"/>
    </row>
    <row r="460">
      <c r="A460" s="64"/>
      <c r="B460" s="20"/>
      <c r="C460" s="39"/>
      <c r="D460" s="39"/>
      <c r="E460" s="39"/>
      <c r="F460" s="39"/>
      <c r="G460" s="65"/>
      <c r="H460" s="39"/>
      <c r="I460" s="39"/>
    </row>
    <row r="461">
      <c r="A461" s="64"/>
      <c r="B461" s="20"/>
      <c r="C461" s="39"/>
      <c r="D461" s="39"/>
      <c r="E461" s="39"/>
      <c r="F461" s="39"/>
      <c r="G461" s="65"/>
      <c r="H461" s="39"/>
      <c r="I461" s="39"/>
    </row>
    <row r="462">
      <c r="A462" s="64"/>
      <c r="B462" s="20"/>
      <c r="C462" s="39"/>
      <c r="D462" s="39"/>
      <c r="E462" s="39"/>
      <c r="F462" s="39"/>
      <c r="G462" s="65"/>
      <c r="H462" s="39"/>
      <c r="I462" s="39"/>
    </row>
    <row r="463">
      <c r="A463" s="64"/>
      <c r="B463" s="20"/>
      <c r="C463" s="39"/>
      <c r="D463" s="39"/>
      <c r="E463" s="39"/>
      <c r="F463" s="39"/>
      <c r="G463" s="65"/>
      <c r="H463" s="39"/>
      <c r="I463" s="39"/>
    </row>
    <row r="464">
      <c r="A464" s="64"/>
      <c r="B464" s="20"/>
      <c r="C464" s="39"/>
      <c r="D464" s="39"/>
      <c r="E464" s="39"/>
      <c r="F464" s="39"/>
      <c r="G464" s="65"/>
      <c r="H464" s="39"/>
      <c r="I464" s="39"/>
    </row>
    <row r="465">
      <c r="A465" s="64"/>
      <c r="B465" s="20"/>
      <c r="C465" s="39"/>
      <c r="D465" s="39"/>
      <c r="E465" s="39"/>
      <c r="F465" s="39"/>
      <c r="G465" s="65"/>
      <c r="H465" s="39"/>
      <c r="I465" s="39"/>
    </row>
    <row r="466">
      <c r="A466" s="64"/>
      <c r="B466" s="20"/>
      <c r="C466" s="39"/>
      <c r="D466" s="39"/>
      <c r="E466" s="39"/>
      <c r="F466" s="39"/>
      <c r="G466" s="65"/>
      <c r="H466" s="39"/>
      <c r="I466" s="39"/>
    </row>
    <row r="467">
      <c r="A467" s="64"/>
      <c r="B467" s="20"/>
      <c r="C467" s="39"/>
      <c r="D467" s="39"/>
      <c r="E467" s="39"/>
      <c r="F467" s="39"/>
      <c r="G467" s="65"/>
      <c r="H467" s="39"/>
      <c r="I467" s="39"/>
    </row>
    <row r="468">
      <c r="A468" s="64"/>
      <c r="B468" s="20"/>
      <c r="C468" s="39"/>
      <c r="D468" s="39"/>
      <c r="E468" s="39"/>
      <c r="F468" s="39"/>
      <c r="G468" s="65"/>
      <c r="H468" s="39"/>
      <c r="I468" s="39"/>
    </row>
    <row r="469">
      <c r="A469" s="64"/>
      <c r="B469" s="20"/>
      <c r="C469" s="39"/>
      <c r="D469" s="39"/>
      <c r="E469" s="39"/>
      <c r="F469" s="39"/>
      <c r="G469" s="65"/>
      <c r="H469" s="39"/>
      <c r="I469" s="39"/>
    </row>
    <row r="470">
      <c r="A470" s="64"/>
      <c r="B470" s="20"/>
      <c r="C470" s="39"/>
      <c r="D470" s="39"/>
      <c r="E470" s="39"/>
      <c r="F470" s="39"/>
      <c r="G470" s="65"/>
      <c r="H470" s="39"/>
      <c r="I470" s="39"/>
    </row>
    <row r="471">
      <c r="A471" s="64"/>
      <c r="B471" s="20"/>
      <c r="C471" s="39"/>
      <c r="D471" s="39"/>
      <c r="E471" s="39"/>
      <c r="F471" s="39"/>
      <c r="G471" s="65"/>
      <c r="H471" s="39"/>
      <c r="I471" s="39"/>
    </row>
    <row r="472">
      <c r="A472" s="64"/>
      <c r="B472" s="20"/>
      <c r="C472" s="39"/>
      <c r="D472" s="39"/>
      <c r="E472" s="39"/>
      <c r="F472" s="39"/>
      <c r="G472" s="65"/>
      <c r="H472" s="39"/>
      <c r="I472" s="39"/>
    </row>
    <row r="473">
      <c r="A473" s="64"/>
      <c r="B473" s="20"/>
      <c r="C473" s="39"/>
      <c r="D473" s="39"/>
      <c r="E473" s="39"/>
      <c r="F473" s="39"/>
      <c r="G473" s="65"/>
      <c r="H473" s="39"/>
      <c r="I473" s="39"/>
    </row>
    <row r="474">
      <c r="A474" s="64"/>
      <c r="B474" s="20"/>
      <c r="C474" s="39"/>
      <c r="D474" s="39"/>
      <c r="E474" s="39"/>
      <c r="F474" s="39"/>
      <c r="G474" s="65"/>
      <c r="H474" s="39"/>
      <c r="I474" s="39"/>
    </row>
    <row r="475">
      <c r="A475" s="64"/>
      <c r="B475" s="20"/>
      <c r="C475" s="39"/>
      <c r="D475" s="39"/>
      <c r="E475" s="39"/>
      <c r="F475" s="39"/>
      <c r="G475" s="65"/>
      <c r="H475" s="39"/>
      <c r="I475" s="39"/>
    </row>
    <row r="476">
      <c r="A476" s="64"/>
      <c r="B476" s="20"/>
      <c r="C476" s="39"/>
      <c r="D476" s="39"/>
      <c r="E476" s="39"/>
      <c r="F476" s="39"/>
      <c r="G476" s="65"/>
      <c r="H476" s="39"/>
      <c r="I476" s="39"/>
    </row>
    <row r="477">
      <c r="A477" s="64"/>
      <c r="B477" s="20"/>
      <c r="C477" s="39"/>
      <c r="D477" s="39"/>
      <c r="E477" s="39"/>
      <c r="F477" s="39"/>
      <c r="G477" s="65"/>
      <c r="H477" s="39"/>
      <c r="I477" s="39"/>
    </row>
    <row r="478">
      <c r="A478" s="64"/>
      <c r="B478" s="20"/>
      <c r="C478" s="39"/>
      <c r="D478" s="39"/>
      <c r="E478" s="39"/>
      <c r="F478" s="39"/>
      <c r="G478" s="65"/>
      <c r="H478" s="39"/>
      <c r="I478" s="39"/>
    </row>
    <row r="479">
      <c r="A479" s="64"/>
      <c r="B479" s="20"/>
      <c r="C479" s="39"/>
      <c r="D479" s="39"/>
      <c r="E479" s="39"/>
      <c r="F479" s="39"/>
      <c r="G479" s="65"/>
      <c r="H479" s="39"/>
      <c r="I479" s="39"/>
    </row>
    <row r="480">
      <c r="A480" s="64"/>
      <c r="B480" s="20"/>
      <c r="C480" s="39"/>
      <c r="D480" s="39"/>
      <c r="E480" s="39"/>
      <c r="F480" s="39"/>
      <c r="G480" s="65"/>
      <c r="H480" s="39"/>
      <c r="I480" s="39"/>
    </row>
    <row r="481">
      <c r="A481" s="64"/>
      <c r="B481" s="20"/>
      <c r="C481" s="39"/>
      <c r="D481" s="39"/>
      <c r="E481" s="39"/>
      <c r="F481" s="39"/>
      <c r="G481" s="65"/>
      <c r="H481" s="39"/>
      <c r="I481" s="39"/>
    </row>
    <row r="482">
      <c r="A482" s="64"/>
      <c r="B482" s="20"/>
      <c r="C482" s="39"/>
      <c r="D482" s="39"/>
      <c r="E482" s="39"/>
      <c r="F482" s="39"/>
      <c r="G482" s="65"/>
      <c r="H482" s="39"/>
      <c r="I482" s="39"/>
    </row>
    <row r="483">
      <c r="A483" s="64"/>
      <c r="B483" s="20"/>
      <c r="C483" s="39"/>
      <c r="D483" s="39"/>
      <c r="E483" s="39"/>
      <c r="F483" s="39"/>
      <c r="G483" s="65"/>
      <c r="H483" s="39"/>
      <c r="I483" s="39"/>
    </row>
    <row r="484">
      <c r="A484" s="64"/>
      <c r="B484" s="20"/>
      <c r="C484" s="39"/>
      <c r="D484" s="39"/>
      <c r="E484" s="39"/>
      <c r="F484" s="39"/>
      <c r="G484" s="65"/>
      <c r="H484" s="39"/>
      <c r="I484" s="39"/>
    </row>
    <row r="485">
      <c r="A485" s="64"/>
      <c r="B485" s="20"/>
      <c r="C485" s="39"/>
      <c r="D485" s="39"/>
      <c r="E485" s="39"/>
      <c r="F485" s="39"/>
      <c r="G485" s="65"/>
      <c r="H485" s="39"/>
      <c r="I485" s="39"/>
    </row>
    <row r="486">
      <c r="A486" s="64"/>
      <c r="B486" s="20"/>
      <c r="C486" s="39"/>
      <c r="D486" s="39"/>
      <c r="E486" s="39"/>
      <c r="F486" s="39"/>
      <c r="G486" s="65"/>
      <c r="H486" s="39"/>
      <c r="I486" s="39"/>
    </row>
    <row r="487">
      <c r="A487" s="64"/>
      <c r="B487" s="20"/>
      <c r="C487" s="39"/>
      <c r="D487" s="39"/>
      <c r="E487" s="39"/>
      <c r="F487" s="39"/>
      <c r="G487" s="65"/>
      <c r="H487" s="39"/>
      <c r="I487" s="39"/>
    </row>
    <row r="488">
      <c r="A488" s="64"/>
      <c r="B488" s="20"/>
      <c r="C488" s="39"/>
      <c r="D488" s="39"/>
      <c r="E488" s="39"/>
      <c r="F488" s="39"/>
      <c r="G488" s="65"/>
      <c r="H488" s="39"/>
      <c r="I488" s="39"/>
    </row>
    <row r="489">
      <c r="A489" s="64"/>
      <c r="B489" s="20"/>
      <c r="C489" s="39"/>
      <c r="D489" s="39"/>
      <c r="E489" s="39"/>
      <c r="F489" s="39"/>
      <c r="G489" s="65"/>
      <c r="H489" s="39"/>
      <c r="I489" s="39"/>
    </row>
    <row r="490">
      <c r="A490" s="64"/>
      <c r="B490" s="20"/>
      <c r="C490" s="39"/>
      <c r="D490" s="39"/>
      <c r="E490" s="39"/>
      <c r="F490" s="39"/>
      <c r="G490" s="65"/>
      <c r="H490" s="39"/>
      <c r="I490" s="39"/>
    </row>
    <row r="491">
      <c r="A491" s="64"/>
      <c r="B491" s="20"/>
      <c r="C491" s="39"/>
      <c r="D491" s="39"/>
      <c r="E491" s="39"/>
      <c r="F491" s="39"/>
      <c r="G491" s="65"/>
      <c r="H491" s="39"/>
      <c r="I491" s="39"/>
    </row>
    <row r="492">
      <c r="A492" s="64"/>
      <c r="B492" s="20"/>
      <c r="C492" s="39"/>
      <c r="D492" s="39"/>
      <c r="E492" s="39"/>
      <c r="F492" s="39"/>
      <c r="G492" s="65"/>
      <c r="H492" s="39"/>
      <c r="I492" s="39"/>
    </row>
    <row r="493">
      <c r="A493" s="64"/>
      <c r="B493" s="20"/>
      <c r="C493" s="39"/>
      <c r="D493" s="39"/>
      <c r="E493" s="39"/>
      <c r="F493" s="39"/>
      <c r="G493" s="65"/>
      <c r="H493" s="39"/>
      <c r="I493" s="39"/>
    </row>
    <row r="494">
      <c r="A494" s="64"/>
      <c r="B494" s="20"/>
      <c r="C494" s="39"/>
      <c r="D494" s="39"/>
      <c r="E494" s="39"/>
      <c r="F494" s="39"/>
      <c r="G494" s="65"/>
      <c r="H494" s="39"/>
      <c r="I494" s="39"/>
    </row>
    <row r="495">
      <c r="A495" s="64"/>
      <c r="B495" s="20"/>
      <c r="C495" s="39"/>
      <c r="D495" s="39"/>
      <c r="E495" s="39"/>
      <c r="F495" s="39"/>
      <c r="G495" s="65"/>
      <c r="H495" s="39"/>
      <c r="I495" s="39"/>
    </row>
    <row r="496">
      <c r="A496" s="64"/>
      <c r="B496" s="20"/>
      <c r="C496" s="39"/>
      <c r="D496" s="39"/>
      <c r="E496" s="39"/>
      <c r="F496" s="39"/>
      <c r="G496" s="65"/>
      <c r="H496" s="39"/>
      <c r="I496" s="39"/>
    </row>
    <row r="497">
      <c r="A497" s="64"/>
      <c r="B497" s="20"/>
      <c r="C497" s="39"/>
      <c r="D497" s="39"/>
      <c r="E497" s="39"/>
      <c r="F497" s="39"/>
      <c r="G497" s="65"/>
      <c r="H497" s="39"/>
      <c r="I497" s="39"/>
    </row>
    <row r="498">
      <c r="A498" s="64"/>
      <c r="B498" s="20"/>
      <c r="C498" s="39"/>
      <c r="D498" s="39"/>
      <c r="E498" s="39"/>
      <c r="F498" s="39"/>
      <c r="G498" s="65"/>
      <c r="H498" s="39"/>
      <c r="I498" s="39"/>
    </row>
    <row r="499">
      <c r="A499" s="64"/>
      <c r="B499" s="20"/>
      <c r="C499" s="39"/>
      <c r="D499" s="39"/>
      <c r="E499" s="39"/>
      <c r="F499" s="39"/>
      <c r="G499" s="65"/>
      <c r="H499" s="39"/>
      <c r="I499" s="39"/>
    </row>
    <row r="500">
      <c r="A500" s="64"/>
      <c r="B500" s="20"/>
      <c r="C500" s="39"/>
      <c r="D500" s="39"/>
      <c r="E500" s="39"/>
      <c r="F500" s="39"/>
      <c r="G500" s="65"/>
      <c r="H500" s="39"/>
      <c r="I500" s="39"/>
    </row>
    <row r="501">
      <c r="A501" s="64"/>
      <c r="B501" s="20"/>
      <c r="C501" s="39"/>
      <c r="D501" s="39"/>
      <c r="E501" s="39"/>
      <c r="F501" s="39"/>
      <c r="G501" s="65"/>
      <c r="H501" s="39"/>
      <c r="I501" s="39"/>
    </row>
    <row r="502">
      <c r="A502" s="64"/>
      <c r="B502" s="20"/>
      <c r="C502" s="39"/>
      <c r="D502" s="39"/>
      <c r="E502" s="39"/>
      <c r="F502" s="39"/>
      <c r="G502" s="65"/>
      <c r="H502" s="39"/>
      <c r="I502" s="39"/>
    </row>
    <row r="503">
      <c r="A503" s="64"/>
      <c r="B503" s="20"/>
      <c r="C503" s="39"/>
      <c r="D503" s="39"/>
      <c r="E503" s="39"/>
      <c r="F503" s="39"/>
      <c r="G503" s="65"/>
      <c r="H503" s="39"/>
      <c r="I503" s="39"/>
    </row>
    <row r="504">
      <c r="A504" s="64"/>
      <c r="B504" s="20"/>
      <c r="C504" s="39"/>
      <c r="D504" s="39"/>
      <c r="E504" s="39"/>
      <c r="F504" s="39"/>
      <c r="G504" s="65"/>
      <c r="H504" s="39"/>
      <c r="I504" s="39"/>
    </row>
    <row r="505">
      <c r="A505" s="64"/>
      <c r="B505" s="20"/>
      <c r="C505" s="39"/>
      <c r="D505" s="39"/>
      <c r="E505" s="39"/>
      <c r="F505" s="39"/>
      <c r="G505" s="65"/>
      <c r="H505" s="39"/>
      <c r="I505" s="39"/>
    </row>
    <row r="506">
      <c r="A506" s="64"/>
      <c r="B506" s="20"/>
      <c r="C506" s="39"/>
      <c r="D506" s="39"/>
      <c r="E506" s="39"/>
      <c r="F506" s="39"/>
      <c r="G506" s="65"/>
      <c r="H506" s="39"/>
      <c r="I506" s="39"/>
    </row>
    <row r="507">
      <c r="A507" s="64"/>
      <c r="B507" s="20"/>
      <c r="C507" s="39"/>
      <c r="D507" s="39"/>
      <c r="E507" s="39"/>
      <c r="F507" s="39"/>
      <c r="G507" s="65"/>
      <c r="H507" s="39"/>
      <c r="I507" s="39"/>
    </row>
    <row r="508">
      <c r="A508" s="64"/>
      <c r="B508" s="20"/>
      <c r="C508" s="39"/>
      <c r="D508" s="39"/>
      <c r="E508" s="39"/>
      <c r="F508" s="39"/>
      <c r="G508" s="65"/>
      <c r="H508" s="39"/>
      <c r="I508" s="39"/>
    </row>
    <row r="509">
      <c r="A509" s="64"/>
      <c r="B509" s="20"/>
      <c r="C509" s="39"/>
      <c r="D509" s="39"/>
      <c r="E509" s="39"/>
      <c r="F509" s="39"/>
      <c r="G509" s="65"/>
      <c r="H509" s="39"/>
      <c r="I509" s="39"/>
    </row>
    <row r="510">
      <c r="A510" s="64"/>
      <c r="B510" s="20"/>
      <c r="C510" s="39"/>
      <c r="D510" s="39"/>
      <c r="E510" s="39"/>
      <c r="F510" s="39"/>
      <c r="G510" s="65"/>
      <c r="H510" s="39"/>
      <c r="I510" s="39"/>
    </row>
    <row r="511">
      <c r="A511" s="64"/>
      <c r="B511" s="20"/>
      <c r="C511" s="39"/>
      <c r="D511" s="39"/>
      <c r="E511" s="39"/>
      <c r="F511" s="39"/>
      <c r="G511" s="65"/>
      <c r="H511" s="39"/>
      <c r="I511" s="39"/>
    </row>
    <row r="512">
      <c r="A512" s="64"/>
      <c r="B512" s="20"/>
      <c r="C512" s="39"/>
      <c r="D512" s="39"/>
      <c r="E512" s="39"/>
      <c r="F512" s="39"/>
      <c r="G512" s="65"/>
      <c r="H512" s="39"/>
      <c r="I512" s="39"/>
    </row>
    <row r="513">
      <c r="A513" s="64"/>
      <c r="B513" s="20"/>
      <c r="C513" s="39"/>
      <c r="D513" s="39"/>
      <c r="E513" s="39"/>
      <c r="F513" s="39"/>
      <c r="G513" s="65"/>
      <c r="H513" s="39"/>
      <c r="I513" s="39"/>
    </row>
    <row r="514">
      <c r="A514" s="64"/>
      <c r="B514" s="20"/>
      <c r="C514" s="39"/>
      <c r="D514" s="39"/>
      <c r="E514" s="39"/>
      <c r="F514" s="39"/>
      <c r="G514" s="65"/>
      <c r="H514" s="39"/>
      <c r="I514" s="39"/>
    </row>
    <row r="515">
      <c r="A515" s="64"/>
      <c r="B515" s="20"/>
      <c r="C515" s="39"/>
      <c r="D515" s="39"/>
      <c r="E515" s="39"/>
      <c r="F515" s="39"/>
      <c r="G515" s="65"/>
      <c r="H515" s="39"/>
      <c r="I515" s="39"/>
    </row>
    <row r="516">
      <c r="A516" s="64"/>
      <c r="B516" s="20"/>
      <c r="C516" s="39"/>
      <c r="D516" s="39"/>
      <c r="E516" s="39"/>
      <c r="F516" s="39"/>
      <c r="G516" s="65"/>
      <c r="H516" s="39"/>
      <c r="I516" s="39"/>
    </row>
    <row r="517">
      <c r="A517" s="64"/>
      <c r="B517" s="20"/>
      <c r="C517" s="39"/>
      <c r="D517" s="39"/>
      <c r="E517" s="39"/>
      <c r="F517" s="39"/>
      <c r="G517" s="65"/>
      <c r="H517" s="39"/>
      <c r="I517" s="39"/>
    </row>
    <row r="518">
      <c r="A518" s="64"/>
      <c r="B518" s="20"/>
      <c r="C518" s="39"/>
      <c r="D518" s="39"/>
      <c r="E518" s="39"/>
      <c r="F518" s="39"/>
      <c r="G518" s="65"/>
      <c r="H518" s="39"/>
      <c r="I518" s="39"/>
    </row>
    <row r="519">
      <c r="A519" s="64"/>
      <c r="B519" s="20"/>
      <c r="C519" s="39"/>
      <c r="D519" s="39"/>
      <c r="E519" s="39"/>
      <c r="F519" s="39"/>
      <c r="G519" s="65"/>
      <c r="H519" s="39"/>
      <c r="I519" s="39"/>
    </row>
    <row r="520">
      <c r="A520" s="64"/>
      <c r="B520" s="20"/>
      <c r="C520" s="39"/>
      <c r="D520" s="39"/>
      <c r="E520" s="39"/>
      <c r="F520" s="39"/>
      <c r="G520" s="65"/>
      <c r="H520" s="39"/>
      <c r="I520" s="39"/>
    </row>
    <row r="521">
      <c r="A521" s="64"/>
      <c r="B521" s="20"/>
      <c r="C521" s="39"/>
      <c r="D521" s="39"/>
      <c r="E521" s="39"/>
      <c r="F521" s="39"/>
      <c r="G521" s="65"/>
      <c r="H521" s="39"/>
      <c r="I521" s="39"/>
    </row>
    <row r="522">
      <c r="A522" s="64"/>
      <c r="B522" s="20"/>
      <c r="C522" s="39"/>
      <c r="D522" s="39"/>
      <c r="E522" s="39"/>
      <c r="F522" s="39"/>
      <c r="G522" s="65"/>
      <c r="H522" s="39"/>
      <c r="I522" s="39"/>
    </row>
    <row r="523">
      <c r="A523" s="64"/>
      <c r="B523" s="20"/>
      <c r="C523" s="39"/>
      <c r="D523" s="39"/>
      <c r="E523" s="39"/>
      <c r="F523" s="39"/>
      <c r="G523" s="65"/>
      <c r="H523" s="39"/>
      <c r="I523" s="39"/>
    </row>
    <row r="524">
      <c r="A524" s="64"/>
      <c r="B524" s="20"/>
      <c r="C524" s="39"/>
      <c r="D524" s="39"/>
      <c r="E524" s="39"/>
      <c r="F524" s="39"/>
      <c r="G524" s="65"/>
      <c r="H524" s="39"/>
      <c r="I524" s="39"/>
    </row>
    <row r="525">
      <c r="A525" s="64"/>
      <c r="B525" s="20"/>
      <c r="C525" s="39"/>
      <c r="D525" s="39"/>
      <c r="E525" s="39"/>
      <c r="F525" s="39"/>
      <c r="G525" s="65"/>
      <c r="H525" s="39"/>
      <c r="I525" s="39"/>
    </row>
    <row r="526">
      <c r="A526" s="64"/>
      <c r="B526" s="20"/>
      <c r="C526" s="39"/>
      <c r="D526" s="39"/>
      <c r="E526" s="39"/>
      <c r="F526" s="39"/>
      <c r="G526" s="65"/>
      <c r="H526" s="39"/>
      <c r="I526" s="39"/>
    </row>
    <row r="527">
      <c r="A527" s="64"/>
      <c r="B527" s="20"/>
      <c r="C527" s="39"/>
      <c r="D527" s="39"/>
      <c r="E527" s="39"/>
      <c r="F527" s="39"/>
      <c r="G527" s="65"/>
      <c r="H527" s="39"/>
      <c r="I527" s="39"/>
    </row>
    <row r="528">
      <c r="A528" s="64"/>
      <c r="B528" s="20"/>
      <c r="C528" s="39"/>
      <c r="D528" s="39"/>
      <c r="E528" s="39"/>
      <c r="F528" s="39"/>
      <c r="G528" s="65"/>
      <c r="H528" s="39"/>
      <c r="I528" s="39"/>
    </row>
    <row r="529">
      <c r="A529" s="64"/>
      <c r="B529" s="20"/>
      <c r="C529" s="39"/>
      <c r="D529" s="39"/>
      <c r="E529" s="39"/>
      <c r="F529" s="39"/>
      <c r="G529" s="65"/>
      <c r="H529" s="39"/>
      <c r="I529" s="39"/>
    </row>
    <row r="530">
      <c r="A530" s="64"/>
      <c r="B530" s="20"/>
      <c r="C530" s="39"/>
      <c r="D530" s="39"/>
      <c r="E530" s="39"/>
      <c r="F530" s="39"/>
      <c r="G530" s="65"/>
      <c r="H530" s="39"/>
      <c r="I530" s="39"/>
    </row>
    <row r="531">
      <c r="A531" s="64"/>
      <c r="B531" s="20"/>
      <c r="C531" s="39"/>
      <c r="D531" s="39"/>
      <c r="E531" s="39"/>
      <c r="F531" s="39"/>
      <c r="G531" s="65"/>
      <c r="H531" s="39"/>
      <c r="I531" s="39"/>
    </row>
    <row r="532">
      <c r="A532" s="64"/>
      <c r="B532" s="20"/>
      <c r="C532" s="39"/>
      <c r="D532" s="39"/>
      <c r="E532" s="39"/>
      <c r="F532" s="39"/>
      <c r="G532" s="65"/>
      <c r="H532" s="39"/>
      <c r="I532" s="39"/>
    </row>
    <row r="533">
      <c r="A533" s="64"/>
      <c r="B533" s="20"/>
      <c r="C533" s="39"/>
      <c r="D533" s="39"/>
      <c r="E533" s="39"/>
      <c r="F533" s="39"/>
      <c r="G533" s="65"/>
      <c r="H533" s="39"/>
      <c r="I533" s="39"/>
    </row>
    <row r="534">
      <c r="A534" s="64"/>
      <c r="B534" s="20"/>
      <c r="C534" s="39"/>
      <c r="D534" s="39"/>
      <c r="E534" s="39"/>
      <c r="F534" s="39"/>
      <c r="G534" s="65"/>
      <c r="H534" s="39"/>
      <c r="I534" s="39"/>
    </row>
    <row r="535">
      <c r="A535" s="64"/>
      <c r="B535" s="20"/>
      <c r="C535" s="39"/>
      <c r="D535" s="39"/>
      <c r="E535" s="39"/>
      <c r="F535" s="39"/>
      <c r="G535" s="65"/>
      <c r="H535" s="39"/>
      <c r="I535" s="39"/>
    </row>
    <row r="536">
      <c r="A536" s="64"/>
      <c r="B536" s="20"/>
      <c r="C536" s="39"/>
      <c r="D536" s="39"/>
      <c r="E536" s="39"/>
      <c r="F536" s="39"/>
      <c r="G536" s="65"/>
      <c r="H536" s="39"/>
      <c r="I536" s="39"/>
    </row>
    <row r="537">
      <c r="A537" s="64"/>
      <c r="B537" s="20"/>
      <c r="C537" s="39"/>
      <c r="D537" s="39"/>
      <c r="E537" s="39"/>
      <c r="F537" s="39"/>
      <c r="G537" s="65"/>
      <c r="H537" s="39"/>
      <c r="I537" s="39"/>
    </row>
    <row r="538">
      <c r="A538" s="64"/>
      <c r="B538" s="20"/>
      <c r="C538" s="39"/>
      <c r="D538" s="39"/>
      <c r="E538" s="39"/>
      <c r="F538" s="39"/>
      <c r="G538" s="65"/>
      <c r="H538" s="39"/>
      <c r="I538" s="39"/>
    </row>
    <row r="539">
      <c r="A539" s="64"/>
      <c r="B539" s="20"/>
      <c r="C539" s="39"/>
      <c r="D539" s="39"/>
      <c r="E539" s="39"/>
      <c r="F539" s="39"/>
      <c r="G539" s="65"/>
      <c r="H539" s="39"/>
      <c r="I539" s="39"/>
    </row>
    <row r="540">
      <c r="A540" s="64"/>
      <c r="B540" s="20"/>
      <c r="C540" s="39"/>
      <c r="D540" s="39"/>
      <c r="E540" s="39"/>
      <c r="F540" s="39"/>
      <c r="G540" s="65"/>
      <c r="H540" s="39"/>
      <c r="I540" s="39"/>
    </row>
    <row r="541">
      <c r="A541" s="64"/>
      <c r="B541" s="20"/>
      <c r="C541" s="39"/>
      <c r="D541" s="39"/>
      <c r="E541" s="39"/>
      <c r="F541" s="39"/>
      <c r="G541" s="65"/>
      <c r="H541" s="39"/>
      <c r="I541" s="39"/>
    </row>
    <row r="542">
      <c r="A542" s="64"/>
      <c r="B542" s="20"/>
      <c r="C542" s="39"/>
      <c r="D542" s="39"/>
      <c r="E542" s="39"/>
      <c r="F542" s="39"/>
      <c r="G542" s="65"/>
      <c r="H542" s="39"/>
      <c r="I542" s="39"/>
    </row>
    <row r="543">
      <c r="A543" s="64"/>
      <c r="B543" s="20"/>
      <c r="C543" s="39"/>
      <c r="D543" s="39"/>
      <c r="E543" s="39"/>
      <c r="F543" s="39"/>
      <c r="G543" s="65"/>
      <c r="H543" s="39"/>
      <c r="I543" s="39"/>
    </row>
    <row r="544">
      <c r="A544" s="64"/>
      <c r="B544" s="20"/>
      <c r="C544" s="39"/>
      <c r="D544" s="39"/>
      <c r="E544" s="39"/>
      <c r="F544" s="39"/>
      <c r="G544" s="65"/>
      <c r="H544" s="39"/>
      <c r="I544" s="39"/>
    </row>
    <row r="545">
      <c r="A545" s="64"/>
      <c r="B545" s="20"/>
      <c r="C545" s="39"/>
      <c r="D545" s="39"/>
      <c r="E545" s="39"/>
      <c r="F545" s="39"/>
      <c r="G545" s="65"/>
      <c r="H545" s="39"/>
      <c r="I545" s="39"/>
    </row>
    <row r="546">
      <c r="A546" s="64"/>
      <c r="B546" s="20"/>
      <c r="C546" s="39"/>
      <c r="D546" s="39"/>
      <c r="E546" s="39"/>
      <c r="F546" s="39"/>
      <c r="G546" s="65"/>
      <c r="H546" s="39"/>
      <c r="I546" s="39"/>
    </row>
    <row r="547">
      <c r="A547" s="64"/>
      <c r="B547" s="20"/>
      <c r="C547" s="39"/>
      <c r="D547" s="39"/>
      <c r="E547" s="39"/>
      <c r="F547" s="39"/>
      <c r="G547" s="65"/>
      <c r="H547" s="39"/>
      <c r="I547" s="39"/>
    </row>
    <row r="548">
      <c r="A548" s="64"/>
      <c r="B548" s="20"/>
      <c r="C548" s="39"/>
      <c r="D548" s="39"/>
      <c r="E548" s="39"/>
      <c r="F548" s="39"/>
      <c r="G548" s="65"/>
      <c r="H548" s="39"/>
      <c r="I548" s="39"/>
    </row>
    <row r="549">
      <c r="A549" s="64"/>
      <c r="B549" s="20"/>
      <c r="C549" s="39"/>
      <c r="D549" s="39"/>
      <c r="E549" s="39"/>
      <c r="F549" s="39"/>
      <c r="G549" s="65"/>
      <c r="H549" s="39"/>
      <c r="I549" s="39"/>
    </row>
    <row r="550">
      <c r="A550" s="64"/>
      <c r="B550" s="20"/>
      <c r="C550" s="39"/>
      <c r="D550" s="39"/>
      <c r="E550" s="39"/>
      <c r="F550" s="39"/>
      <c r="G550" s="65"/>
      <c r="H550" s="39"/>
      <c r="I550" s="39"/>
    </row>
    <row r="551">
      <c r="A551" s="64"/>
      <c r="B551" s="20"/>
      <c r="C551" s="39"/>
      <c r="D551" s="39"/>
      <c r="E551" s="39"/>
      <c r="F551" s="39"/>
      <c r="G551" s="65"/>
      <c r="H551" s="39"/>
      <c r="I551" s="39"/>
    </row>
    <row r="552">
      <c r="A552" s="64"/>
      <c r="B552" s="20"/>
      <c r="C552" s="39"/>
      <c r="D552" s="39"/>
      <c r="E552" s="39"/>
      <c r="F552" s="39"/>
      <c r="G552" s="65"/>
      <c r="H552" s="39"/>
      <c r="I552" s="39"/>
    </row>
    <row r="553">
      <c r="A553" s="64"/>
      <c r="B553" s="20"/>
      <c r="C553" s="39"/>
      <c r="D553" s="39"/>
      <c r="E553" s="39"/>
      <c r="F553" s="39"/>
      <c r="G553" s="65"/>
      <c r="H553" s="39"/>
      <c r="I553" s="39"/>
    </row>
    <row r="554">
      <c r="A554" s="64"/>
      <c r="B554" s="20"/>
      <c r="C554" s="39"/>
      <c r="D554" s="39"/>
      <c r="E554" s="39"/>
      <c r="F554" s="39"/>
      <c r="G554" s="65"/>
      <c r="H554" s="39"/>
      <c r="I554" s="39"/>
    </row>
    <row r="555">
      <c r="A555" s="64"/>
      <c r="B555" s="20"/>
      <c r="C555" s="39"/>
      <c r="D555" s="39"/>
      <c r="E555" s="39"/>
      <c r="F555" s="39"/>
      <c r="G555" s="65"/>
      <c r="H555" s="39"/>
      <c r="I555" s="39"/>
    </row>
    <row r="556">
      <c r="A556" s="64"/>
      <c r="B556" s="20"/>
      <c r="C556" s="39"/>
      <c r="D556" s="39"/>
      <c r="E556" s="39"/>
      <c r="F556" s="39"/>
      <c r="G556" s="65"/>
      <c r="H556" s="39"/>
      <c r="I556" s="39"/>
    </row>
    <row r="557">
      <c r="A557" s="64"/>
      <c r="B557" s="20"/>
      <c r="C557" s="39"/>
      <c r="D557" s="39"/>
      <c r="E557" s="39"/>
      <c r="F557" s="39"/>
      <c r="G557" s="65"/>
      <c r="H557" s="39"/>
      <c r="I557" s="39"/>
    </row>
    <row r="558">
      <c r="A558" s="64"/>
      <c r="B558" s="20"/>
      <c r="C558" s="39"/>
      <c r="D558" s="39"/>
      <c r="E558" s="39"/>
      <c r="F558" s="39"/>
      <c r="G558" s="65"/>
      <c r="H558" s="39"/>
      <c r="I558" s="39"/>
    </row>
    <row r="559">
      <c r="A559" s="64"/>
      <c r="B559" s="20"/>
      <c r="C559" s="39"/>
      <c r="D559" s="39"/>
      <c r="E559" s="39"/>
      <c r="F559" s="39"/>
      <c r="G559" s="65"/>
      <c r="H559" s="39"/>
      <c r="I559" s="39"/>
    </row>
    <row r="560">
      <c r="A560" s="64"/>
      <c r="B560" s="20"/>
      <c r="C560" s="39"/>
      <c r="D560" s="39"/>
      <c r="E560" s="39"/>
      <c r="F560" s="39"/>
      <c r="G560" s="65"/>
      <c r="H560" s="39"/>
      <c r="I560" s="39"/>
    </row>
    <row r="561">
      <c r="A561" s="64"/>
      <c r="B561" s="20"/>
      <c r="C561" s="39"/>
      <c r="D561" s="39"/>
      <c r="E561" s="39"/>
      <c r="F561" s="39"/>
      <c r="G561" s="65"/>
      <c r="H561" s="39"/>
      <c r="I561" s="39"/>
    </row>
    <row r="562">
      <c r="A562" s="64"/>
      <c r="B562" s="20"/>
      <c r="C562" s="39"/>
      <c r="D562" s="39"/>
      <c r="E562" s="39"/>
      <c r="F562" s="39"/>
      <c r="G562" s="65"/>
      <c r="H562" s="39"/>
      <c r="I562" s="39"/>
    </row>
    <row r="563">
      <c r="A563" s="64"/>
      <c r="B563" s="20"/>
      <c r="C563" s="39"/>
      <c r="D563" s="39"/>
      <c r="E563" s="39"/>
      <c r="F563" s="39"/>
      <c r="G563" s="65"/>
      <c r="H563" s="39"/>
      <c r="I563" s="39"/>
    </row>
    <row r="564">
      <c r="A564" s="64"/>
      <c r="B564" s="20"/>
      <c r="C564" s="39"/>
      <c r="D564" s="39"/>
      <c r="E564" s="39"/>
      <c r="F564" s="39"/>
      <c r="G564" s="65"/>
      <c r="H564" s="39"/>
      <c r="I564" s="39"/>
    </row>
    <row r="565">
      <c r="A565" s="64"/>
      <c r="B565" s="20"/>
      <c r="C565" s="39"/>
      <c r="D565" s="39"/>
      <c r="E565" s="39"/>
      <c r="F565" s="39"/>
      <c r="G565" s="65"/>
      <c r="H565" s="39"/>
      <c r="I565" s="39"/>
    </row>
    <row r="566">
      <c r="A566" s="64"/>
      <c r="B566" s="20"/>
      <c r="C566" s="39"/>
      <c r="D566" s="39"/>
      <c r="E566" s="39"/>
      <c r="F566" s="39"/>
      <c r="G566" s="65"/>
      <c r="H566" s="39"/>
      <c r="I566" s="39"/>
    </row>
    <row r="567">
      <c r="A567" s="64"/>
      <c r="B567" s="20"/>
      <c r="C567" s="39"/>
      <c r="D567" s="39"/>
      <c r="E567" s="39"/>
      <c r="F567" s="39"/>
      <c r="G567" s="65"/>
      <c r="H567" s="39"/>
      <c r="I567" s="39"/>
    </row>
    <row r="568">
      <c r="A568" s="64"/>
      <c r="B568" s="20"/>
      <c r="C568" s="39"/>
      <c r="D568" s="39"/>
      <c r="E568" s="39"/>
      <c r="F568" s="39"/>
      <c r="G568" s="65"/>
      <c r="H568" s="39"/>
      <c r="I568" s="39"/>
    </row>
    <row r="569">
      <c r="A569" s="64"/>
      <c r="B569" s="20"/>
      <c r="C569" s="39"/>
      <c r="D569" s="39"/>
      <c r="E569" s="39"/>
      <c r="F569" s="39"/>
      <c r="G569" s="65"/>
      <c r="H569" s="39"/>
      <c r="I569" s="39"/>
    </row>
    <row r="570">
      <c r="A570" s="64"/>
      <c r="B570" s="20"/>
      <c r="C570" s="39"/>
      <c r="D570" s="39"/>
      <c r="E570" s="39"/>
      <c r="F570" s="39"/>
      <c r="G570" s="65"/>
      <c r="H570" s="39"/>
      <c r="I570" s="39"/>
    </row>
    <row r="571">
      <c r="A571" s="64"/>
      <c r="B571" s="20"/>
      <c r="C571" s="39"/>
      <c r="D571" s="39"/>
      <c r="E571" s="39"/>
      <c r="F571" s="39"/>
      <c r="G571" s="65"/>
      <c r="H571" s="39"/>
      <c r="I571" s="39"/>
    </row>
    <row r="572">
      <c r="A572" s="64"/>
      <c r="B572" s="20"/>
      <c r="C572" s="39"/>
      <c r="D572" s="39"/>
      <c r="E572" s="39"/>
      <c r="F572" s="39"/>
      <c r="G572" s="65"/>
      <c r="H572" s="39"/>
      <c r="I572" s="39"/>
    </row>
    <row r="573">
      <c r="A573" s="64"/>
      <c r="B573" s="20"/>
      <c r="C573" s="39"/>
      <c r="D573" s="39"/>
      <c r="E573" s="39"/>
      <c r="F573" s="39"/>
      <c r="G573" s="65"/>
      <c r="H573" s="39"/>
      <c r="I573" s="39"/>
    </row>
    <row r="574">
      <c r="A574" s="64"/>
      <c r="B574" s="20"/>
      <c r="C574" s="39"/>
      <c r="D574" s="39"/>
      <c r="E574" s="39"/>
      <c r="F574" s="39"/>
      <c r="G574" s="65"/>
      <c r="H574" s="39"/>
      <c r="I574" s="39"/>
    </row>
    <row r="575">
      <c r="A575" s="64"/>
      <c r="B575" s="20"/>
      <c r="C575" s="39"/>
      <c r="D575" s="39"/>
      <c r="E575" s="39"/>
      <c r="F575" s="39"/>
      <c r="G575" s="65"/>
      <c r="H575" s="39"/>
      <c r="I575" s="39"/>
    </row>
    <row r="576">
      <c r="A576" s="64"/>
      <c r="B576" s="20"/>
      <c r="C576" s="39"/>
      <c r="D576" s="39"/>
      <c r="E576" s="39"/>
      <c r="F576" s="39"/>
      <c r="G576" s="65"/>
      <c r="H576" s="39"/>
      <c r="I576" s="39"/>
    </row>
    <row r="577">
      <c r="A577" s="64"/>
      <c r="B577" s="20"/>
      <c r="C577" s="39"/>
      <c r="D577" s="39"/>
      <c r="E577" s="39"/>
      <c r="F577" s="39"/>
      <c r="G577" s="65"/>
      <c r="H577" s="39"/>
      <c r="I577" s="39"/>
    </row>
    <row r="578">
      <c r="A578" s="64"/>
      <c r="B578" s="20"/>
      <c r="C578" s="39"/>
      <c r="D578" s="39"/>
      <c r="E578" s="39"/>
      <c r="F578" s="39"/>
      <c r="G578" s="65"/>
      <c r="H578" s="39"/>
      <c r="I578" s="39"/>
    </row>
    <row r="579">
      <c r="A579" s="64"/>
      <c r="B579" s="20"/>
      <c r="C579" s="39"/>
      <c r="D579" s="39"/>
      <c r="E579" s="39"/>
      <c r="F579" s="39"/>
      <c r="G579" s="65"/>
      <c r="H579" s="39"/>
      <c r="I579" s="39"/>
    </row>
    <row r="580">
      <c r="A580" s="64"/>
      <c r="B580" s="20"/>
      <c r="C580" s="39"/>
      <c r="D580" s="39"/>
      <c r="E580" s="39"/>
      <c r="F580" s="39"/>
      <c r="G580" s="65"/>
      <c r="H580" s="39"/>
      <c r="I580" s="39"/>
    </row>
    <row r="581">
      <c r="A581" s="64"/>
      <c r="B581" s="20"/>
      <c r="C581" s="39"/>
      <c r="D581" s="39"/>
      <c r="E581" s="39"/>
      <c r="F581" s="39"/>
      <c r="G581" s="65"/>
      <c r="H581" s="39"/>
      <c r="I581" s="39"/>
    </row>
    <row r="582">
      <c r="A582" s="64"/>
      <c r="B582" s="20"/>
      <c r="C582" s="39"/>
      <c r="D582" s="39"/>
      <c r="E582" s="39"/>
      <c r="F582" s="39"/>
      <c r="G582" s="65"/>
      <c r="H582" s="39"/>
      <c r="I582" s="39"/>
    </row>
    <row r="583">
      <c r="A583" s="64"/>
      <c r="B583" s="20"/>
      <c r="C583" s="39"/>
      <c r="D583" s="39"/>
      <c r="E583" s="39"/>
      <c r="F583" s="39"/>
      <c r="G583" s="65"/>
      <c r="H583" s="39"/>
      <c r="I583" s="39"/>
    </row>
    <row r="584">
      <c r="A584" s="64"/>
      <c r="B584" s="20"/>
      <c r="C584" s="39"/>
      <c r="D584" s="39"/>
      <c r="E584" s="39"/>
      <c r="F584" s="39"/>
      <c r="G584" s="65"/>
      <c r="H584" s="39"/>
      <c r="I584" s="39"/>
    </row>
    <row r="585">
      <c r="A585" s="64"/>
      <c r="B585" s="20"/>
      <c r="C585" s="39"/>
      <c r="D585" s="39"/>
      <c r="E585" s="39"/>
      <c r="F585" s="39"/>
      <c r="G585" s="65"/>
      <c r="H585" s="39"/>
      <c r="I585" s="39"/>
    </row>
    <row r="586">
      <c r="A586" s="64"/>
      <c r="B586" s="20"/>
      <c r="C586" s="39"/>
      <c r="D586" s="39"/>
      <c r="E586" s="39"/>
      <c r="F586" s="39"/>
      <c r="G586" s="65"/>
      <c r="H586" s="39"/>
      <c r="I586" s="39"/>
    </row>
    <row r="587">
      <c r="A587" s="64"/>
      <c r="B587" s="20"/>
      <c r="C587" s="39"/>
      <c r="D587" s="39"/>
      <c r="E587" s="39"/>
      <c r="F587" s="39"/>
      <c r="G587" s="65"/>
      <c r="H587" s="39"/>
      <c r="I587" s="39"/>
    </row>
    <row r="588">
      <c r="A588" s="64"/>
      <c r="B588" s="20"/>
      <c r="C588" s="39"/>
      <c r="D588" s="39"/>
      <c r="E588" s="39"/>
      <c r="F588" s="39"/>
      <c r="G588" s="65"/>
      <c r="H588" s="39"/>
      <c r="I588" s="39"/>
    </row>
    <row r="589">
      <c r="A589" s="64"/>
      <c r="B589" s="20"/>
      <c r="C589" s="39"/>
      <c r="D589" s="39"/>
      <c r="E589" s="39"/>
      <c r="F589" s="39"/>
      <c r="G589" s="65"/>
      <c r="H589" s="39"/>
      <c r="I589" s="39"/>
    </row>
    <row r="590">
      <c r="A590" s="64"/>
      <c r="B590" s="20"/>
      <c r="C590" s="39"/>
      <c r="D590" s="39"/>
      <c r="E590" s="39"/>
      <c r="F590" s="39"/>
      <c r="G590" s="65"/>
      <c r="H590" s="39"/>
      <c r="I590" s="39"/>
    </row>
    <row r="591">
      <c r="A591" s="64"/>
      <c r="B591" s="20"/>
      <c r="C591" s="39"/>
      <c r="D591" s="39"/>
      <c r="E591" s="39"/>
      <c r="F591" s="39"/>
      <c r="G591" s="65"/>
      <c r="H591" s="39"/>
      <c r="I591" s="39"/>
    </row>
    <row r="592">
      <c r="A592" s="64"/>
      <c r="B592" s="20"/>
      <c r="C592" s="39"/>
      <c r="D592" s="39"/>
      <c r="E592" s="39"/>
      <c r="F592" s="39"/>
      <c r="G592" s="65"/>
      <c r="H592" s="39"/>
      <c r="I592" s="39"/>
    </row>
    <row r="593">
      <c r="A593" s="64"/>
      <c r="B593" s="20"/>
      <c r="C593" s="39"/>
      <c r="D593" s="39"/>
      <c r="E593" s="39"/>
      <c r="F593" s="39"/>
      <c r="G593" s="65"/>
      <c r="H593" s="39"/>
      <c r="I593" s="39"/>
    </row>
    <row r="594">
      <c r="A594" s="64"/>
      <c r="B594" s="20"/>
      <c r="C594" s="39"/>
      <c r="D594" s="39"/>
      <c r="E594" s="39"/>
      <c r="F594" s="39"/>
      <c r="G594" s="65"/>
      <c r="H594" s="39"/>
      <c r="I594" s="39"/>
    </row>
    <row r="595">
      <c r="A595" s="64"/>
      <c r="B595" s="20"/>
      <c r="C595" s="39"/>
      <c r="D595" s="39"/>
      <c r="E595" s="39"/>
      <c r="F595" s="39"/>
      <c r="G595" s="65"/>
      <c r="H595" s="39"/>
      <c r="I595" s="39"/>
    </row>
    <row r="596">
      <c r="A596" s="64"/>
      <c r="B596" s="20"/>
      <c r="C596" s="39"/>
      <c r="D596" s="39"/>
      <c r="E596" s="39"/>
      <c r="F596" s="39"/>
      <c r="G596" s="65"/>
      <c r="H596" s="39"/>
      <c r="I596" s="39"/>
    </row>
    <row r="597">
      <c r="A597" s="64"/>
      <c r="B597" s="20"/>
      <c r="C597" s="39"/>
      <c r="D597" s="39"/>
      <c r="E597" s="39"/>
      <c r="F597" s="39"/>
      <c r="G597" s="65"/>
      <c r="H597" s="39"/>
      <c r="I597" s="39"/>
    </row>
    <row r="598">
      <c r="A598" s="64"/>
      <c r="B598" s="20"/>
      <c r="C598" s="39"/>
      <c r="D598" s="39"/>
      <c r="E598" s="39"/>
      <c r="F598" s="39"/>
      <c r="G598" s="65"/>
      <c r="H598" s="39"/>
      <c r="I598" s="39"/>
    </row>
    <row r="599">
      <c r="A599" s="64"/>
      <c r="B599" s="20"/>
      <c r="C599" s="39"/>
      <c r="D599" s="39"/>
      <c r="E599" s="39"/>
      <c r="F599" s="39"/>
      <c r="G599" s="65"/>
      <c r="H599" s="39"/>
      <c r="I599" s="39"/>
    </row>
    <row r="600">
      <c r="A600" s="64"/>
      <c r="B600" s="20"/>
      <c r="C600" s="39"/>
      <c r="D600" s="39"/>
      <c r="E600" s="39"/>
      <c r="F600" s="39"/>
      <c r="G600" s="65"/>
      <c r="H600" s="39"/>
      <c r="I600" s="39"/>
    </row>
    <row r="601">
      <c r="A601" s="64"/>
      <c r="B601" s="20"/>
      <c r="C601" s="39"/>
      <c r="D601" s="39"/>
      <c r="E601" s="39"/>
      <c r="F601" s="39"/>
      <c r="G601" s="65"/>
      <c r="H601" s="39"/>
      <c r="I601" s="39"/>
    </row>
    <row r="602">
      <c r="A602" s="64"/>
      <c r="B602" s="20"/>
      <c r="C602" s="39"/>
      <c r="D602" s="39"/>
      <c r="E602" s="39"/>
      <c r="F602" s="39"/>
      <c r="G602" s="65"/>
      <c r="H602" s="39"/>
      <c r="I602" s="39"/>
    </row>
    <row r="603">
      <c r="A603" s="64"/>
      <c r="B603" s="20"/>
      <c r="C603" s="39"/>
      <c r="D603" s="39"/>
      <c r="E603" s="39"/>
      <c r="F603" s="39"/>
      <c r="G603" s="65"/>
      <c r="H603" s="39"/>
      <c r="I603" s="39"/>
    </row>
    <row r="604">
      <c r="A604" s="64"/>
      <c r="B604" s="20"/>
      <c r="C604" s="39"/>
      <c r="D604" s="39"/>
      <c r="E604" s="39"/>
      <c r="F604" s="39"/>
      <c r="G604" s="65"/>
      <c r="H604" s="39"/>
      <c r="I604" s="39"/>
    </row>
    <row r="605">
      <c r="A605" s="64"/>
      <c r="B605" s="20"/>
      <c r="C605" s="39"/>
      <c r="D605" s="39"/>
      <c r="E605" s="39"/>
      <c r="F605" s="39"/>
      <c r="G605" s="65"/>
      <c r="H605" s="39"/>
      <c r="I605" s="39"/>
    </row>
    <row r="606">
      <c r="A606" s="64"/>
      <c r="B606" s="20"/>
      <c r="C606" s="39"/>
      <c r="D606" s="39"/>
      <c r="E606" s="39"/>
      <c r="F606" s="39"/>
      <c r="G606" s="65"/>
      <c r="H606" s="39"/>
      <c r="I606" s="39"/>
    </row>
    <row r="607">
      <c r="A607" s="64"/>
      <c r="B607" s="20"/>
      <c r="C607" s="39"/>
      <c r="D607" s="39"/>
      <c r="E607" s="39"/>
      <c r="F607" s="39"/>
      <c r="G607" s="65"/>
      <c r="H607" s="39"/>
      <c r="I607" s="39"/>
    </row>
    <row r="608">
      <c r="A608" s="64"/>
      <c r="B608" s="20"/>
      <c r="C608" s="39"/>
      <c r="D608" s="39"/>
      <c r="E608" s="39"/>
      <c r="F608" s="39"/>
      <c r="G608" s="65"/>
      <c r="H608" s="39"/>
      <c r="I608" s="39"/>
    </row>
    <row r="609">
      <c r="A609" s="64"/>
      <c r="B609" s="20"/>
      <c r="C609" s="39"/>
      <c r="D609" s="39"/>
      <c r="E609" s="39"/>
      <c r="F609" s="39"/>
      <c r="G609" s="65"/>
      <c r="H609" s="39"/>
      <c r="I609" s="39"/>
    </row>
    <row r="610">
      <c r="A610" s="64"/>
      <c r="B610" s="20"/>
      <c r="C610" s="39"/>
      <c r="D610" s="39"/>
      <c r="E610" s="39"/>
      <c r="F610" s="39"/>
      <c r="G610" s="65"/>
      <c r="H610" s="39"/>
      <c r="I610" s="39"/>
    </row>
    <row r="611">
      <c r="A611" s="64"/>
      <c r="B611" s="20"/>
      <c r="C611" s="39"/>
      <c r="D611" s="39"/>
      <c r="E611" s="39"/>
      <c r="F611" s="39"/>
      <c r="G611" s="65"/>
      <c r="H611" s="39"/>
      <c r="I611" s="39"/>
    </row>
    <row r="612">
      <c r="A612" s="64"/>
      <c r="B612" s="20"/>
      <c r="C612" s="39"/>
      <c r="D612" s="39"/>
      <c r="E612" s="39"/>
      <c r="F612" s="39"/>
      <c r="G612" s="65"/>
      <c r="H612" s="39"/>
      <c r="I612" s="39"/>
    </row>
    <row r="613">
      <c r="A613" s="64"/>
      <c r="B613" s="20"/>
      <c r="C613" s="39"/>
      <c r="D613" s="39"/>
      <c r="E613" s="39"/>
      <c r="F613" s="39"/>
      <c r="G613" s="65"/>
      <c r="H613" s="39"/>
      <c r="I613" s="39"/>
    </row>
    <row r="614">
      <c r="A614" s="64"/>
      <c r="B614" s="20"/>
      <c r="C614" s="39"/>
      <c r="D614" s="39"/>
      <c r="E614" s="39"/>
      <c r="F614" s="39"/>
      <c r="G614" s="65"/>
      <c r="H614" s="39"/>
      <c r="I614" s="39"/>
    </row>
    <row r="615">
      <c r="A615" s="64"/>
      <c r="B615" s="20"/>
      <c r="C615" s="39"/>
      <c r="D615" s="39"/>
      <c r="E615" s="39"/>
      <c r="F615" s="39"/>
      <c r="G615" s="65"/>
      <c r="H615" s="39"/>
      <c r="I615" s="39"/>
    </row>
    <row r="616">
      <c r="A616" s="64"/>
      <c r="B616" s="20"/>
      <c r="C616" s="39"/>
      <c r="D616" s="39"/>
      <c r="E616" s="39"/>
      <c r="F616" s="39"/>
      <c r="G616" s="65"/>
      <c r="H616" s="39"/>
      <c r="I616" s="39"/>
    </row>
    <row r="617">
      <c r="A617" s="64"/>
      <c r="B617" s="20"/>
      <c r="C617" s="39"/>
      <c r="D617" s="39"/>
      <c r="E617" s="39"/>
      <c r="F617" s="39"/>
      <c r="G617" s="65"/>
      <c r="H617" s="39"/>
      <c r="I617" s="39"/>
    </row>
    <row r="618">
      <c r="A618" s="64"/>
      <c r="B618" s="20"/>
      <c r="C618" s="39"/>
      <c r="D618" s="39"/>
      <c r="E618" s="39"/>
      <c r="F618" s="39"/>
      <c r="G618" s="65"/>
      <c r="H618" s="39"/>
      <c r="I618" s="39"/>
    </row>
    <row r="619">
      <c r="A619" s="64"/>
      <c r="B619" s="20"/>
      <c r="C619" s="39"/>
      <c r="D619" s="39"/>
      <c r="E619" s="39"/>
      <c r="F619" s="39"/>
      <c r="G619" s="65"/>
      <c r="H619" s="39"/>
      <c r="I619" s="39"/>
    </row>
    <row r="620">
      <c r="A620" s="64"/>
      <c r="B620" s="20"/>
      <c r="C620" s="39"/>
      <c r="D620" s="39"/>
      <c r="E620" s="39"/>
      <c r="F620" s="39"/>
      <c r="G620" s="65"/>
      <c r="H620" s="39"/>
      <c r="I620" s="39"/>
    </row>
    <row r="621">
      <c r="A621" s="64"/>
      <c r="B621" s="20"/>
      <c r="C621" s="39"/>
      <c r="D621" s="39"/>
      <c r="E621" s="39"/>
      <c r="F621" s="39"/>
      <c r="G621" s="65"/>
      <c r="H621" s="39"/>
      <c r="I621" s="39"/>
    </row>
    <row r="622">
      <c r="A622" s="64"/>
      <c r="B622" s="20"/>
      <c r="C622" s="39"/>
      <c r="D622" s="39"/>
      <c r="E622" s="39"/>
      <c r="F622" s="39"/>
      <c r="G622" s="65"/>
      <c r="H622" s="39"/>
      <c r="I622" s="39"/>
    </row>
    <row r="623">
      <c r="A623" s="64"/>
      <c r="B623" s="20"/>
      <c r="C623" s="39"/>
      <c r="D623" s="39"/>
      <c r="E623" s="39"/>
      <c r="F623" s="39"/>
      <c r="G623" s="65"/>
      <c r="H623" s="39"/>
      <c r="I623" s="39"/>
    </row>
    <row r="624">
      <c r="A624" s="64"/>
      <c r="B624" s="20"/>
      <c r="C624" s="39"/>
      <c r="D624" s="39"/>
      <c r="E624" s="39"/>
      <c r="F624" s="39"/>
      <c r="G624" s="65"/>
      <c r="H624" s="39"/>
      <c r="I624" s="39"/>
    </row>
    <row r="625">
      <c r="A625" s="64"/>
      <c r="B625" s="20"/>
      <c r="C625" s="39"/>
      <c r="D625" s="39"/>
      <c r="E625" s="39"/>
      <c r="F625" s="39"/>
      <c r="G625" s="65"/>
      <c r="H625" s="39"/>
      <c r="I625" s="39"/>
    </row>
    <row r="626">
      <c r="A626" s="64"/>
      <c r="B626" s="20"/>
      <c r="C626" s="39"/>
      <c r="D626" s="39"/>
      <c r="E626" s="39"/>
      <c r="F626" s="39"/>
      <c r="G626" s="65"/>
      <c r="H626" s="39"/>
      <c r="I626" s="39"/>
    </row>
    <row r="627">
      <c r="A627" s="64"/>
      <c r="B627" s="20"/>
      <c r="C627" s="39"/>
      <c r="D627" s="39"/>
      <c r="E627" s="39"/>
      <c r="F627" s="39"/>
      <c r="G627" s="65"/>
      <c r="H627" s="39"/>
      <c r="I627" s="39"/>
    </row>
    <row r="628">
      <c r="A628" s="64"/>
      <c r="B628" s="20"/>
      <c r="C628" s="39"/>
      <c r="D628" s="39"/>
      <c r="E628" s="39"/>
      <c r="F628" s="39"/>
      <c r="G628" s="65"/>
      <c r="H628" s="39"/>
      <c r="I628" s="39"/>
    </row>
    <row r="629">
      <c r="A629" s="64"/>
      <c r="B629" s="20"/>
      <c r="C629" s="39"/>
      <c r="D629" s="39"/>
      <c r="E629" s="39"/>
      <c r="F629" s="39"/>
      <c r="G629" s="65"/>
      <c r="H629" s="39"/>
      <c r="I629" s="39"/>
    </row>
    <row r="630">
      <c r="A630" s="64"/>
      <c r="B630" s="20"/>
      <c r="C630" s="39"/>
      <c r="D630" s="39"/>
      <c r="E630" s="39"/>
      <c r="F630" s="39"/>
      <c r="G630" s="65"/>
      <c r="H630" s="39"/>
      <c r="I630" s="39"/>
    </row>
    <row r="631">
      <c r="A631" s="64"/>
      <c r="B631" s="20"/>
      <c r="C631" s="39"/>
      <c r="D631" s="39"/>
      <c r="E631" s="39"/>
      <c r="F631" s="39"/>
      <c r="G631" s="65"/>
      <c r="H631" s="39"/>
      <c r="I631" s="39"/>
    </row>
    <row r="632">
      <c r="A632" s="64"/>
      <c r="B632" s="20"/>
      <c r="C632" s="39"/>
      <c r="D632" s="39"/>
      <c r="E632" s="39"/>
      <c r="F632" s="39"/>
      <c r="G632" s="65"/>
      <c r="H632" s="39"/>
      <c r="I632" s="39"/>
    </row>
    <row r="633">
      <c r="A633" s="64"/>
      <c r="B633" s="20"/>
      <c r="C633" s="39"/>
      <c r="D633" s="39"/>
      <c r="E633" s="39"/>
      <c r="F633" s="39"/>
      <c r="G633" s="65"/>
      <c r="H633" s="39"/>
      <c r="I633" s="39"/>
    </row>
    <row r="634">
      <c r="A634" s="64"/>
      <c r="B634" s="20"/>
      <c r="C634" s="39"/>
      <c r="D634" s="39"/>
      <c r="E634" s="39"/>
      <c r="F634" s="39"/>
      <c r="G634" s="65"/>
      <c r="H634" s="39"/>
      <c r="I634" s="39"/>
    </row>
    <row r="635">
      <c r="A635" s="64"/>
      <c r="B635" s="20"/>
      <c r="C635" s="39"/>
      <c r="D635" s="39"/>
      <c r="E635" s="39"/>
      <c r="F635" s="39"/>
      <c r="G635" s="65"/>
      <c r="H635" s="39"/>
      <c r="I635" s="39"/>
    </row>
    <row r="636">
      <c r="A636" s="64"/>
      <c r="B636" s="20"/>
      <c r="C636" s="39"/>
      <c r="D636" s="39"/>
      <c r="E636" s="39"/>
      <c r="F636" s="39"/>
      <c r="G636" s="65"/>
      <c r="H636" s="39"/>
      <c r="I636" s="39"/>
    </row>
    <row r="637">
      <c r="A637" s="64"/>
      <c r="B637" s="20"/>
      <c r="C637" s="39"/>
      <c r="D637" s="39"/>
      <c r="E637" s="39"/>
      <c r="F637" s="39"/>
      <c r="G637" s="65"/>
      <c r="H637" s="39"/>
      <c r="I637" s="39"/>
    </row>
    <row r="638">
      <c r="A638" s="64"/>
      <c r="B638" s="20"/>
      <c r="C638" s="39"/>
      <c r="D638" s="39"/>
      <c r="E638" s="39"/>
      <c r="F638" s="39"/>
      <c r="G638" s="65"/>
      <c r="H638" s="39"/>
      <c r="I638" s="39"/>
    </row>
    <row r="639">
      <c r="A639" s="64"/>
      <c r="B639" s="20"/>
      <c r="C639" s="39"/>
      <c r="D639" s="39"/>
      <c r="E639" s="39"/>
      <c r="F639" s="39"/>
      <c r="G639" s="65"/>
      <c r="H639" s="39"/>
      <c r="I639" s="39"/>
    </row>
    <row r="640">
      <c r="A640" s="64"/>
      <c r="B640" s="20"/>
      <c r="C640" s="39"/>
      <c r="D640" s="39"/>
      <c r="E640" s="39"/>
      <c r="F640" s="39"/>
      <c r="G640" s="65"/>
      <c r="H640" s="39"/>
      <c r="I640" s="39"/>
    </row>
    <row r="641">
      <c r="A641" s="64"/>
      <c r="B641" s="20"/>
      <c r="C641" s="39"/>
      <c r="D641" s="39"/>
      <c r="E641" s="39"/>
      <c r="F641" s="39"/>
      <c r="G641" s="65"/>
      <c r="H641" s="39"/>
      <c r="I641" s="39"/>
    </row>
    <row r="642">
      <c r="A642" s="64"/>
      <c r="B642" s="20"/>
      <c r="C642" s="39"/>
      <c r="D642" s="39"/>
      <c r="E642" s="39"/>
      <c r="F642" s="39"/>
      <c r="G642" s="65"/>
      <c r="H642" s="39"/>
      <c r="I642" s="39"/>
    </row>
    <row r="643">
      <c r="A643" s="64"/>
      <c r="B643" s="20"/>
      <c r="C643" s="39"/>
      <c r="D643" s="39"/>
      <c r="E643" s="39"/>
      <c r="F643" s="39"/>
      <c r="G643" s="65"/>
      <c r="H643" s="39"/>
      <c r="I643" s="39"/>
    </row>
    <row r="644">
      <c r="A644" s="64"/>
      <c r="B644" s="20"/>
      <c r="C644" s="39"/>
      <c r="D644" s="39"/>
      <c r="E644" s="39"/>
      <c r="F644" s="39"/>
      <c r="G644" s="65"/>
      <c r="H644" s="39"/>
      <c r="I644" s="39"/>
    </row>
    <row r="645">
      <c r="A645" s="64"/>
      <c r="B645" s="20"/>
      <c r="C645" s="39"/>
      <c r="D645" s="39"/>
      <c r="E645" s="39"/>
      <c r="F645" s="39"/>
      <c r="G645" s="65"/>
      <c r="H645" s="39"/>
      <c r="I645" s="39"/>
    </row>
    <row r="646">
      <c r="A646" s="64"/>
      <c r="B646" s="20"/>
      <c r="C646" s="39"/>
      <c r="D646" s="39"/>
      <c r="E646" s="39"/>
      <c r="F646" s="39"/>
      <c r="G646" s="65"/>
      <c r="H646" s="39"/>
      <c r="I646" s="39"/>
    </row>
    <row r="647">
      <c r="A647" s="64"/>
      <c r="B647" s="20"/>
      <c r="C647" s="39"/>
      <c r="D647" s="39"/>
      <c r="E647" s="39"/>
      <c r="F647" s="39"/>
      <c r="G647" s="65"/>
      <c r="H647" s="39"/>
      <c r="I647" s="39"/>
    </row>
    <row r="648">
      <c r="A648" s="64"/>
      <c r="B648" s="20"/>
      <c r="C648" s="39"/>
      <c r="D648" s="39"/>
      <c r="E648" s="39"/>
      <c r="F648" s="39"/>
      <c r="G648" s="65"/>
      <c r="H648" s="39"/>
      <c r="I648" s="39"/>
    </row>
    <row r="649">
      <c r="A649" s="64"/>
      <c r="B649" s="20"/>
      <c r="C649" s="39"/>
      <c r="D649" s="39"/>
      <c r="E649" s="39"/>
      <c r="F649" s="39"/>
      <c r="G649" s="65"/>
      <c r="H649" s="39"/>
      <c r="I649" s="39"/>
    </row>
    <row r="650">
      <c r="A650" s="64"/>
      <c r="B650" s="20"/>
      <c r="C650" s="39"/>
      <c r="D650" s="39"/>
      <c r="E650" s="39"/>
      <c r="F650" s="39"/>
      <c r="G650" s="65"/>
      <c r="H650" s="39"/>
      <c r="I650" s="39"/>
    </row>
    <row r="651">
      <c r="A651" s="64"/>
      <c r="B651" s="20"/>
      <c r="C651" s="39"/>
      <c r="D651" s="39"/>
      <c r="E651" s="39"/>
      <c r="F651" s="39"/>
      <c r="G651" s="65"/>
      <c r="H651" s="39"/>
      <c r="I651" s="39"/>
    </row>
    <row r="652">
      <c r="A652" s="64"/>
      <c r="B652" s="20"/>
      <c r="C652" s="39"/>
      <c r="D652" s="39"/>
      <c r="E652" s="39"/>
      <c r="F652" s="39"/>
      <c r="G652" s="65"/>
      <c r="H652" s="39"/>
      <c r="I652" s="39"/>
    </row>
    <row r="653">
      <c r="A653" s="64"/>
      <c r="B653" s="20"/>
      <c r="C653" s="39"/>
      <c r="D653" s="39"/>
      <c r="E653" s="39"/>
      <c r="F653" s="39"/>
      <c r="G653" s="65"/>
      <c r="H653" s="39"/>
      <c r="I653" s="39"/>
    </row>
    <row r="654">
      <c r="A654" s="64"/>
      <c r="B654" s="20"/>
      <c r="C654" s="39"/>
      <c r="D654" s="39"/>
      <c r="E654" s="39"/>
      <c r="F654" s="39"/>
      <c r="G654" s="65"/>
      <c r="H654" s="39"/>
      <c r="I654" s="39"/>
    </row>
    <row r="655">
      <c r="A655" s="64"/>
      <c r="B655" s="20"/>
      <c r="C655" s="39"/>
      <c r="D655" s="39"/>
      <c r="E655" s="39"/>
      <c r="F655" s="39"/>
      <c r="G655" s="65"/>
      <c r="H655" s="39"/>
      <c r="I655" s="39"/>
    </row>
    <row r="656">
      <c r="A656" s="64"/>
      <c r="B656" s="20"/>
      <c r="C656" s="39"/>
      <c r="D656" s="39"/>
      <c r="E656" s="39"/>
      <c r="F656" s="39"/>
      <c r="G656" s="65"/>
      <c r="H656" s="39"/>
      <c r="I656" s="39"/>
    </row>
    <row r="657">
      <c r="A657" s="64"/>
      <c r="B657" s="20"/>
      <c r="C657" s="39"/>
      <c r="D657" s="39"/>
      <c r="E657" s="39"/>
      <c r="F657" s="39"/>
      <c r="G657" s="65"/>
      <c r="H657" s="39"/>
      <c r="I657" s="39"/>
    </row>
    <row r="658">
      <c r="A658" s="64"/>
      <c r="B658" s="20"/>
      <c r="C658" s="39"/>
      <c r="D658" s="39"/>
      <c r="E658" s="39"/>
      <c r="F658" s="39"/>
      <c r="G658" s="65"/>
      <c r="H658" s="39"/>
      <c r="I658" s="39"/>
    </row>
    <row r="659">
      <c r="A659" s="64"/>
      <c r="B659" s="20"/>
      <c r="C659" s="39"/>
      <c r="D659" s="39"/>
      <c r="E659" s="39"/>
      <c r="F659" s="39"/>
      <c r="G659" s="65"/>
      <c r="H659" s="39"/>
      <c r="I659" s="39"/>
    </row>
    <row r="660">
      <c r="A660" s="64"/>
      <c r="B660" s="20"/>
      <c r="C660" s="39"/>
      <c r="D660" s="39"/>
      <c r="E660" s="39"/>
      <c r="F660" s="39"/>
      <c r="G660" s="65"/>
      <c r="H660" s="39"/>
      <c r="I660" s="39"/>
    </row>
    <row r="661">
      <c r="A661" s="64"/>
      <c r="B661" s="20"/>
      <c r="C661" s="39"/>
      <c r="D661" s="39"/>
      <c r="E661" s="39"/>
      <c r="F661" s="39"/>
      <c r="G661" s="65"/>
      <c r="H661" s="39"/>
      <c r="I661" s="39"/>
    </row>
    <row r="662">
      <c r="A662" s="64"/>
      <c r="B662" s="20"/>
      <c r="C662" s="39"/>
      <c r="D662" s="39"/>
      <c r="E662" s="39"/>
      <c r="F662" s="39"/>
      <c r="G662" s="65"/>
      <c r="H662" s="39"/>
      <c r="I662" s="39"/>
    </row>
    <row r="663">
      <c r="A663" s="64"/>
      <c r="B663" s="20"/>
      <c r="C663" s="39"/>
      <c r="D663" s="39"/>
      <c r="E663" s="39"/>
      <c r="F663" s="39"/>
      <c r="G663" s="65"/>
      <c r="H663" s="39"/>
      <c r="I663" s="39"/>
    </row>
    <row r="664">
      <c r="A664" s="64"/>
      <c r="B664" s="20"/>
      <c r="C664" s="39"/>
      <c r="D664" s="39"/>
      <c r="E664" s="39"/>
      <c r="F664" s="39"/>
      <c r="G664" s="65"/>
      <c r="H664" s="39"/>
      <c r="I664" s="39"/>
    </row>
    <row r="665">
      <c r="A665" s="64"/>
      <c r="B665" s="20"/>
      <c r="C665" s="39"/>
      <c r="D665" s="39"/>
      <c r="E665" s="39"/>
      <c r="F665" s="39"/>
      <c r="G665" s="65"/>
      <c r="H665" s="39"/>
      <c r="I665" s="39"/>
    </row>
    <row r="666">
      <c r="A666" s="64"/>
      <c r="B666" s="20"/>
      <c r="C666" s="39"/>
      <c r="D666" s="39"/>
      <c r="E666" s="39"/>
      <c r="F666" s="39"/>
      <c r="G666" s="65"/>
      <c r="H666" s="39"/>
      <c r="I666" s="39"/>
    </row>
    <row r="667">
      <c r="A667" s="64"/>
      <c r="B667" s="20"/>
      <c r="C667" s="39"/>
      <c r="D667" s="39"/>
      <c r="E667" s="39"/>
      <c r="F667" s="39"/>
      <c r="G667" s="65"/>
      <c r="H667" s="39"/>
      <c r="I667" s="39"/>
    </row>
    <row r="668">
      <c r="A668" s="64"/>
      <c r="B668" s="20"/>
      <c r="C668" s="39"/>
      <c r="D668" s="39"/>
      <c r="E668" s="39"/>
      <c r="F668" s="39"/>
      <c r="G668" s="65"/>
      <c r="H668" s="39"/>
      <c r="I668" s="39"/>
    </row>
    <row r="669">
      <c r="A669" s="64"/>
      <c r="B669" s="20"/>
      <c r="C669" s="39"/>
      <c r="D669" s="39"/>
      <c r="E669" s="39"/>
      <c r="F669" s="39"/>
      <c r="G669" s="65"/>
      <c r="H669" s="39"/>
      <c r="I669" s="39"/>
    </row>
    <row r="670">
      <c r="A670" s="64"/>
      <c r="B670" s="20"/>
      <c r="C670" s="39"/>
      <c r="D670" s="39"/>
      <c r="E670" s="39"/>
      <c r="F670" s="39"/>
      <c r="G670" s="65"/>
      <c r="H670" s="39"/>
      <c r="I670" s="39"/>
    </row>
    <row r="671">
      <c r="A671" s="64"/>
      <c r="B671" s="20"/>
      <c r="C671" s="39"/>
      <c r="D671" s="39"/>
      <c r="E671" s="39"/>
      <c r="F671" s="39"/>
      <c r="G671" s="65"/>
      <c r="H671" s="39"/>
      <c r="I671" s="39"/>
    </row>
    <row r="672">
      <c r="A672" s="64"/>
      <c r="B672" s="20"/>
      <c r="C672" s="39"/>
      <c r="D672" s="39"/>
      <c r="E672" s="39"/>
      <c r="F672" s="39"/>
      <c r="G672" s="65"/>
      <c r="H672" s="39"/>
      <c r="I672" s="39"/>
    </row>
    <row r="673">
      <c r="A673" s="64"/>
      <c r="B673" s="20"/>
      <c r="C673" s="39"/>
      <c r="D673" s="39"/>
      <c r="E673" s="39"/>
      <c r="F673" s="39"/>
      <c r="G673" s="65"/>
      <c r="H673" s="39"/>
      <c r="I673" s="39"/>
    </row>
    <row r="674">
      <c r="A674" s="64"/>
      <c r="B674" s="20"/>
      <c r="C674" s="39"/>
      <c r="D674" s="39"/>
      <c r="E674" s="39"/>
      <c r="F674" s="39"/>
      <c r="G674" s="65"/>
      <c r="H674" s="39"/>
      <c r="I674" s="39"/>
    </row>
    <row r="675">
      <c r="A675" s="64"/>
      <c r="B675" s="20"/>
      <c r="C675" s="39"/>
      <c r="D675" s="39"/>
      <c r="E675" s="39"/>
      <c r="F675" s="39"/>
      <c r="G675" s="65"/>
      <c r="H675" s="39"/>
      <c r="I675" s="39"/>
    </row>
    <row r="676">
      <c r="A676" s="64"/>
      <c r="B676" s="20"/>
      <c r="C676" s="39"/>
      <c r="D676" s="39"/>
      <c r="E676" s="39"/>
      <c r="F676" s="39"/>
      <c r="G676" s="65"/>
      <c r="H676" s="39"/>
      <c r="I676" s="39"/>
    </row>
    <row r="677">
      <c r="A677" s="64"/>
      <c r="B677" s="20"/>
      <c r="C677" s="39"/>
      <c r="D677" s="39"/>
      <c r="E677" s="39"/>
      <c r="F677" s="39"/>
      <c r="G677" s="65"/>
      <c r="H677" s="39"/>
      <c r="I677" s="39"/>
    </row>
    <row r="678">
      <c r="A678" s="64"/>
      <c r="B678" s="20"/>
      <c r="C678" s="39"/>
      <c r="D678" s="39"/>
      <c r="E678" s="39"/>
      <c r="F678" s="39"/>
      <c r="G678" s="65"/>
      <c r="H678" s="39"/>
      <c r="I678" s="39"/>
    </row>
    <row r="679">
      <c r="A679" s="64"/>
      <c r="B679" s="20"/>
      <c r="C679" s="39"/>
      <c r="D679" s="39"/>
      <c r="E679" s="39"/>
      <c r="F679" s="39"/>
      <c r="G679" s="65"/>
      <c r="H679" s="39"/>
      <c r="I679" s="39"/>
    </row>
    <row r="680">
      <c r="A680" s="64"/>
      <c r="B680" s="20"/>
      <c r="C680" s="39"/>
      <c r="D680" s="39"/>
      <c r="E680" s="39"/>
      <c r="F680" s="39"/>
      <c r="G680" s="65"/>
      <c r="H680" s="39"/>
      <c r="I680" s="39"/>
    </row>
    <row r="681">
      <c r="A681" s="64"/>
      <c r="B681" s="20"/>
      <c r="C681" s="39"/>
      <c r="D681" s="39"/>
      <c r="E681" s="39"/>
      <c r="F681" s="39"/>
      <c r="G681" s="65"/>
      <c r="H681" s="39"/>
      <c r="I681" s="39"/>
    </row>
    <row r="682">
      <c r="A682" s="64"/>
      <c r="B682" s="20"/>
      <c r="C682" s="39"/>
      <c r="D682" s="39"/>
      <c r="E682" s="39"/>
      <c r="F682" s="39"/>
      <c r="G682" s="65"/>
      <c r="H682" s="39"/>
      <c r="I682" s="39"/>
    </row>
    <row r="683">
      <c r="A683" s="64"/>
      <c r="B683" s="20"/>
      <c r="C683" s="39"/>
      <c r="D683" s="39"/>
      <c r="E683" s="39"/>
      <c r="F683" s="39"/>
      <c r="G683" s="65"/>
      <c r="H683" s="39"/>
      <c r="I683" s="39"/>
    </row>
    <row r="684">
      <c r="A684" s="64"/>
      <c r="B684" s="20"/>
      <c r="C684" s="39"/>
      <c r="D684" s="39"/>
      <c r="E684" s="39"/>
      <c r="F684" s="39"/>
      <c r="G684" s="65"/>
      <c r="H684" s="39"/>
      <c r="I684" s="39"/>
    </row>
    <row r="685">
      <c r="A685" s="64"/>
      <c r="B685" s="20"/>
      <c r="C685" s="39"/>
      <c r="D685" s="39"/>
      <c r="E685" s="39"/>
      <c r="F685" s="39"/>
      <c r="G685" s="65"/>
      <c r="H685" s="39"/>
      <c r="I685" s="39"/>
    </row>
    <row r="686">
      <c r="A686" s="64"/>
      <c r="B686" s="20"/>
      <c r="C686" s="39"/>
      <c r="D686" s="39"/>
      <c r="E686" s="39"/>
      <c r="F686" s="39"/>
      <c r="G686" s="65"/>
      <c r="H686" s="39"/>
      <c r="I686" s="39"/>
    </row>
    <row r="687">
      <c r="A687" s="64"/>
      <c r="B687" s="20"/>
      <c r="C687" s="39"/>
      <c r="D687" s="39"/>
      <c r="E687" s="39"/>
      <c r="F687" s="39"/>
      <c r="G687" s="65"/>
      <c r="H687" s="39"/>
      <c r="I687" s="39"/>
    </row>
    <row r="688">
      <c r="A688" s="64"/>
      <c r="B688" s="20"/>
      <c r="C688" s="39"/>
      <c r="D688" s="39"/>
      <c r="E688" s="39"/>
      <c r="F688" s="39"/>
      <c r="G688" s="65"/>
      <c r="H688" s="39"/>
      <c r="I688" s="39"/>
    </row>
    <row r="689">
      <c r="A689" s="64"/>
      <c r="B689" s="20"/>
      <c r="C689" s="39"/>
      <c r="D689" s="39"/>
      <c r="E689" s="39"/>
      <c r="F689" s="39"/>
      <c r="G689" s="65"/>
      <c r="H689" s="39"/>
      <c r="I689" s="39"/>
    </row>
    <row r="690">
      <c r="A690" s="64"/>
      <c r="B690" s="20"/>
      <c r="C690" s="39"/>
      <c r="D690" s="39"/>
      <c r="E690" s="39"/>
      <c r="F690" s="39"/>
      <c r="G690" s="65"/>
      <c r="H690" s="39"/>
      <c r="I690" s="39"/>
    </row>
    <row r="691">
      <c r="A691" s="64"/>
      <c r="B691" s="20"/>
      <c r="C691" s="39"/>
      <c r="D691" s="39"/>
      <c r="E691" s="39"/>
      <c r="F691" s="39"/>
      <c r="G691" s="65"/>
      <c r="H691" s="39"/>
      <c r="I691" s="39"/>
    </row>
    <row r="692">
      <c r="A692" s="64"/>
      <c r="B692" s="20"/>
      <c r="C692" s="39"/>
      <c r="D692" s="39"/>
      <c r="E692" s="39"/>
      <c r="F692" s="39"/>
      <c r="G692" s="65"/>
      <c r="H692" s="39"/>
      <c r="I692" s="39"/>
    </row>
    <row r="693">
      <c r="A693" s="64"/>
      <c r="B693" s="20"/>
      <c r="C693" s="39"/>
      <c r="D693" s="39"/>
      <c r="E693" s="39"/>
      <c r="F693" s="39"/>
      <c r="G693" s="65"/>
      <c r="H693" s="39"/>
      <c r="I693" s="39"/>
    </row>
    <row r="694">
      <c r="A694" s="64"/>
      <c r="B694" s="20"/>
      <c r="C694" s="39"/>
      <c r="D694" s="39"/>
      <c r="E694" s="39"/>
      <c r="F694" s="39"/>
      <c r="G694" s="65"/>
      <c r="H694" s="39"/>
      <c r="I694" s="39"/>
    </row>
    <row r="695">
      <c r="A695" s="64"/>
      <c r="B695" s="20"/>
      <c r="C695" s="39"/>
      <c r="D695" s="39"/>
      <c r="E695" s="39"/>
      <c r="F695" s="39"/>
      <c r="G695" s="65"/>
      <c r="H695" s="39"/>
      <c r="I695" s="39"/>
    </row>
    <row r="696">
      <c r="A696" s="64"/>
      <c r="B696" s="20"/>
      <c r="C696" s="39"/>
      <c r="D696" s="39"/>
      <c r="E696" s="39"/>
      <c r="F696" s="39"/>
      <c r="G696" s="65"/>
      <c r="H696" s="39"/>
      <c r="I696" s="39"/>
    </row>
    <row r="697">
      <c r="A697" s="64"/>
      <c r="B697" s="20"/>
      <c r="C697" s="39"/>
      <c r="D697" s="39"/>
      <c r="E697" s="39"/>
      <c r="F697" s="39"/>
      <c r="G697" s="65"/>
      <c r="H697" s="39"/>
      <c r="I697" s="39"/>
    </row>
    <row r="698">
      <c r="A698" s="64"/>
      <c r="B698" s="20"/>
      <c r="C698" s="39"/>
      <c r="D698" s="39"/>
      <c r="E698" s="39"/>
      <c r="F698" s="39"/>
      <c r="G698" s="65"/>
      <c r="H698" s="39"/>
      <c r="I698" s="39"/>
    </row>
    <row r="699">
      <c r="A699" s="64"/>
      <c r="B699" s="20"/>
      <c r="C699" s="39"/>
      <c r="D699" s="39"/>
      <c r="E699" s="39"/>
      <c r="F699" s="39"/>
      <c r="G699" s="65"/>
      <c r="H699" s="39"/>
      <c r="I699" s="39"/>
    </row>
    <row r="700">
      <c r="A700" s="64"/>
      <c r="B700" s="20"/>
      <c r="C700" s="39"/>
      <c r="D700" s="39"/>
      <c r="E700" s="39"/>
      <c r="F700" s="39"/>
      <c r="G700" s="65"/>
      <c r="H700" s="39"/>
      <c r="I700" s="39"/>
    </row>
    <row r="701">
      <c r="A701" s="64"/>
      <c r="B701" s="20"/>
      <c r="C701" s="39"/>
      <c r="D701" s="39"/>
      <c r="E701" s="39"/>
      <c r="F701" s="39"/>
      <c r="G701" s="65"/>
      <c r="H701" s="39"/>
      <c r="I701" s="39"/>
    </row>
    <row r="702">
      <c r="A702" s="64"/>
      <c r="B702" s="20"/>
      <c r="C702" s="39"/>
      <c r="D702" s="39"/>
      <c r="E702" s="39"/>
      <c r="F702" s="39"/>
      <c r="G702" s="65"/>
      <c r="H702" s="39"/>
      <c r="I702" s="39"/>
    </row>
    <row r="703">
      <c r="A703" s="64"/>
      <c r="B703" s="20"/>
      <c r="C703" s="39"/>
      <c r="D703" s="39"/>
      <c r="E703" s="39"/>
      <c r="F703" s="39"/>
      <c r="G703" s="65"/>
      <c r="H703" s="39"/>
      <c r="I703" s="39"/>
    </row>
    <row r="704">
      <c r="A704" s="64"/>
      <c r="B704" s="20"/>
      <c r="C704" s="39"/>
      <c r="D704" s="39"/>
      <c r="E704" s="39"/>
      <c r="F704" s="39"/>
      <c r="G704" s="65"/>
      <c r="H704" s="39"/>
      <c r="I704" s="39"/>
    </row>
    <row r="705">
      <c r="A705" s="64"/>
      <c r="B705" s="20"/>
      <c r="C705" s="39"/>
      <c r="D705" s="39"/>
      <c r="E705" s="39"/>
      <c r="F705" s="39"/>
      <c r="G705" s="65"/>
      <c r="H705" s="39"/>
      <c r="I705" s="39"/>
    </row>
    <row r="706">
      <c r="A706" s="64"/>
      <c r="B706" s="20"/>
      <c r="C706" s="39"/>
      <c r="D706" s="39"/>
      <c r="E706" s="39"/>
      <c r="F706" s="39"/>
      <c r="G706" s="65"/>
      <c r="H706" s="39"/>
      <c r="I706" s="39"/>
    </row>
    <row r="707">
      <c r="A707" s="64"/>
      <c r="B707" s="20"/>
      <c r="C707" s="39"/>
      <c r="D707" s="39"/>
      <c r="E707" s="39"/>
      <c r="F707" s="39"/>
      <c r="G707" s="65"/>
      <c r="H707" s="39"/>
      <c r="I707" s="39"/>
    </row>
    <row r="708">
      <c r="A708" s="64"/>
      <c r="B708" s="20"/>
      <c r="C708" s="39"/>
      <c r="D708" s="39"/>
      <c r="E708" s="39"/>
      <c r="F708" s="39"/>
      <c r="G708" s="65"/>
      <c r="H708" s="39"/>
      <c r="I708" s="39"/>
    </row>
    <row r="709">
      <c r="A709" s="64"/>
      <c r="B709" s="20"/>
      <c r="C709" s="39"/>
      <c r="D709" s="39"/>
      <c r="E709" s="39"/>
      <c r="F709" s="39"/>
      <c r="G709" s="65"/>
      <c r="H709" s="39"/>
      <c r="I709" s="39"/>
    </row>
    <row r="710">
      <c r="A710" s="64"/>
      <c r="B710" s="20"/>
      <c r="C710" s="39"/>
      <c r="D710" s="39"/>
      <c r="E710" s="39"/>
      <c r="F710" s="39"/>
      <c r="G710" s="65"/>
      <c r="H710" s="39"/>
      <c r="I710" s="39"/>
    </row>
    <row r="711">
      <c r="A711" s="64"/>
      <c r="B711" s="20"/>
      <c r="C711" s="39"/>
      <c r="D711" s="39"/>
      <c r="E711" s="39"/>
      <c r="F711" s="39"/>
      <c r="G711" s="65"/>
      <c r="H711" s="39"/>
      <c r="I711" s="39"/>
    </row>
    <row r="712">
      <c r="A712" s="64"/>
      <c r="B712" s="20"/>
      <c r="C712" s="39"/>
      <c r="D712" s="39"/>
      <c r="E712" s="39"/>
      <c r="F712" s="39"/>
      <c r="G712" s="65"/>
      <c r="H712" s="39"/>
      <c r="I712" s="39"/>
    </row>
    <row r="713">
      <c r="A713" s="64"/>
      <c r="B713" s="20"/>
      <c r="C713" s="39"/>
      <c r="D713" s="39"/>
      <c r="E713" s="39"/>
      <c r="F713" s="39"/>
      <c r="G713" s="65"/>
      <c r="H713" s="39"/>
      <c r="I713" s="39"/>
    </row>
    <row r="714">
      <c r="A714" s="64"/>
      <c r="B714" s="20"/>
      <c r="C714" s="39"/>
      <c r="D714" s="39"/>
      <c r="E714" s="39"/>
      <c r="F714" s="39"/>
      <c r="G714" s="65"/>
      <c r="H714" s="39"/>
      <c r="I714" s="39"/>
    </row>
    <row r="715">
      <c r="A715" s="64"/>
      <c r="B715" s="20"/>
      <c r="C715" s="39"/>
      <c r="D715" s="39"/>
      <c r="E715" s="39"/>
      <c r="F715" s="39"/>
      <c r="G715" s="65"/>
      <c r="H715" s="39"/>
      <c r="I715" s="39"/>
    </row>
    <row r="716">
      <c r="A716" s="64"/>
      <c r="B716" s="20"/>
      <c r="C716" s="39"/>
      <c r="D716" s="39"/>
      <c r="E716" s="39"/>
      <c r="F716" s="39"/>
      <c r="G716" s="65"/>
      <c r="H716" s="39"/>
      <c r="I716" s="39"/>
    </row>
    <row r="717">
      <c r="A717" s="64"/>
      <c r="B717" s="20"/>
      <c r="C717" s="39"/>
      <c r="D717" s="39"/>
      <c r="E717" s="39"/>
      <c r="F717" s="39"/>
      <c r="G717" s="65"/>
      <c r="H717" s="39"/>
      <c r="I717" s="39"/>
    </row>
    <row r="718">
      <c r="A718" s="64"/>
      <c r="B718" s="20"/>
      <c r="C718" s="39"/>
      <c r="D718" s="39"/>
      <c r="E718" s="39"/>
      <c r="F718" s="39"/>
      <c r="G718" s="65"/>
      <c r="H718" s="39"/>
      <c r="I718" s="39"/>
    </row>
    <row r="719">
      <c r="A719" s="64"/>
      <c r="B719" s="20"/>
      <c r="C719" s="39"/>
      <c r="D719" s="39"/>
      <c r="E719" s="39"/>
      <c r="F719" s="39"/>
      <c r="G719" s="65"/>
      <c r="H719" s="39"/>
      <c r="I719" s="39"/>
    </row>
    <row r="720">
      <c r="A720" s="64"/>
      <c r="B720" s="20"/>
      <c r="C720" s="39"/>
      <c r="D720" s="39"/>
      <c r="E720" s="39"/>
      <c r="F720" s="39"/>
      <c r="G720" s="65"/>
      <c r="H720" s="39"/>
      <c r="I720" s="39"/>
    </row>
    <row r="721">
      <c r="A721" s="64"/>
      <c r="B721" s="20"/>
      <c r="C721" s="39"/>
      <c r="D721" s="39"/>
      <c r="E721" s="39"/>
      <c r="F721" s="39"/>
      <c r="G721" s="65"/>
      <c r="H721" s="39"/>
      <c r="I721" s="39"/>
    </row>
    <row r="722">
      <c r="A722" s="64"/>
      <c r="B722" s="20"/>
      <c r="C722" s="39"/>
      <c r="D722" s="39"/>
      <c r="E722" s="39"/>
      <c r="F722" s="39"/>
      <c r="G722" s="65"/>
      <c r="H722" s="39"/>
      <c r="I722" s="39"/>
    </row>
    <row r="723">
      <c r="A723" s="64"/>
      <c r="B723" s="20"/>
      <c r="C723" s="39"/>
      <c r="D723" s="39"/>
      <c r="E723" s="39"/>
      <c r="F723" s="39"/>
      <c r="G723" s="65"/>
      <c r="H723" s="39"/>
      <c r="I723" s="39"/>
    </row>
    <row r="724">
      <c r="A724" s="64"/>
      <c r="B724" s="20"/>
      <c r="C724" s="39"/>
      <c r="D724" s="39"/>
      <c r="E724" s="39"/>
      <c r="F724" s="39"/>
      <c r="G724" s="65"/>
      <c r="H724" s="39"/>
      <c r="I724" s="39"/>
    </row>
    <row r="725">
      <c r="A725" s="64"/>
      <c r="B725" s="20"/>
      <c r="C725" s="39"/>
      <c r="D725" s="39"/>
      <c r="E725" s="39"/>
      <c r="F725" s="39"/>
      <c r="G725" s="65"/>
      <c r="H725" s="39"/>
      <c r="I725" s="39"/>
    </row>
    <row r="726">
      <c r="A726" s="64"/>
      <c r="B726" s="20"/>
      <c r="C726" s="39"/>
      <c r="D726" s="39"/>
      <c r="E726" s="39"/>
      <c r="F726" s="39"/>
      <c r="G726" s="65"/>
      <c r="H726" s="39"/>
      <c r="I726" s="39"/>
    </row>
    <row r="727">
      <c r="A727" s="64"/>
      <c r="B727" s="20"/>
      <c r="C727" s="39"/>
      <c r="D727" s="39"/>
      <c r="E727" s="39"/>
      <c r="F727" s="39"/>
      <c r="G727" s="65"/>
      <c r="H727" s="39"/>
      <c r="I727" s="39"/>
    </row>
    <row r="728">
      <c r="A728" s="64"/>
      <c r="B728" s="20"/>
      <c r="C728" s="39"/>
      <c r="D728" s="39"/>
      <c r="E728" s="39"/>
      <c r="F728" s="39"/>
      <c r="G728" s="65"/>
      <c r="H728" s="39"/>
      <c r="I728" s="39"/>
    </row>
    <row r="729">
      <c r="A729" s="64"/>
      <c r="B729" s="20"/>
      <c r="C729" s="39"/>
      <c r="D729" s="39"/>
      <c r="E729" s="39"/>
      <c r="F729" s="39"/>
      <c r="G729" s="65"/>
      <c r="H729" s="39"/>
      <c r="I729" s="39"/>
    </row>
    <row r="730">
      <c r="A730" s="64"/>
      <c r="B730" s="20"/>
      <c r="C730" s="39"/>
      <c r="D730" s="39"/>
      <c r="E730" s="39"/>
      <c r="F730" s="39"/>
      <c r="G730" s="65"/>
      <c r="H730" s="39"/>
      <c r="I730" s="39"/>
    </row>
    <row r="731">
      <c r="A731" s="64"/>
      <c r="B731" s="20"/>
      <c r="C731" s="39"/>
      <c r="D731" s="39"/>
      <c r="E731" s="39"/>
      <c r="F731" s="39"/>
      <c r="G731" s="65"/>
      <c r="H731" s="39"/>
      <c r="I731" s="39"/>
    </row>
    <row r="732">
      <c r="A732" s="64"/>
      <c r="B732" s="20"/>
      <c r="C732" s="39"/>
      <c r="D732" s="39"/>
      <c r="E732" s="39"/>
      <c r="F732" s="39"/>
      <c r="G732" s="65"/>
      <c r="H732" s="39"/>
      <c r="I732" s="39"/>
    </row>
    <row r="733">
      <c r="A733" s="64"/>
      <c r="B733" s="20"/>
      <c r="C733" s="39"/>
      <c r="D733" s="39"/>
      <c r="E733" s="39"/>
      <c r="F733" s="39"/>
      <c r="G733" s="65"/>
      <c r="H733" s="39"/>
      <c r="I733" s="39"/>
    </row>
    <row r="734">
      <c r="A734" s="64"/>
      <c r="B734" s="20"/>
      <c r="C734" s="39"/>
      <c r="D734" s="39"/>
      <c r="E734" s="39"/>
      <c r="F734" s="39"/>
      <c r="G734" s="65"/>
      <c r="H734" s="39"/>
      <c r="I734" s="39"/>
    </row>
    <row r="735">
      <c r="A735" s="64"/>
      <c r="B735" s="20"/>
      <c r="C735" s="39"/>
      <c r="D735" s="39"/>
      <c r="E735" s="39"/>
      <c r="F735" s="39"/>
      <c r="G735" s="65"/>
      <c r="H735" s="39"/>
      <c r="I735" s="39"/>
    </row>
    <row r="736">
      <c r="A736" s="64"/>
      <c r="B736" s="20"/>
      <c r="C736" s="39"/>
      <c r="D736" s="39"/>
      <c r="E736" s="39"/>
      <c r="F736" s="39"/>
      <c r="G736" s="65"/>
      <c r="H736" s="39"/>
      <c r="I736" s="39"/>
    </row>
    <row r="737">
      <c r="A737" s="64"/>
      <c r="B737" s="20"/>
      <c r="C737" s="39"/>
      <c r="D737" s="39"/>
      <c r="E737" s="39"/>
      <c r="F737" s="39"/>
      <c r="G737" s="65"/>
      <c r="H737" s="39"/>
      <c r="I737" s="39"/>
    </row>
    <row r="738">
      <c r="A738" s="64"/>
      <c r="B738" s="20"/>
      <c r="C738" s="39"/>
      <c r="D738" s="39"/>
      <c r="E738" s="39"/>
      <c r="F738" s="39"/>
      <c r="G738" s="65"/>
      <c r="H738" s="39"/>
      <c r="I738" s="39"/>
    </row>
    <row r="739">
      <c r="A739" s="64"/>
      <c r="B739" s="20"/>
      <c r="C739" s="39"/>
      <c r="D739" s="39"/>
      <c r="E739" s="39"/>
      <c r="F739" s="39"/>
      <c r="G739" s="65"/>
      <c r="H739" s="39"/>
      <c r="I739" s="39"/>
    </row>
    <row r="740">
      <c r="A740" s="64"/>
      <c r="B740" s="20"/>
      <c r="C740" s="39"/>
      <c r="D740" s="39"/>
      <c r="E740" s="39"/>
      <c r="F740" s="39"/>
      <c r="G740" s="65"/>
      <c r="H740" s="39"/>
      <c r="I740" s="39"/>
    </row>
    <row r="741">
      <c r="A741" s="64"/>
      <c r="B741" s="20"/>
      <c r="C741" s="39"/>
      <c r="D741" s="39"/>
      <c r="E741" s="39"/>
      <c r="F741" s="39"/>
      <c r="G741" s="65"/>
      <c r="H741" s="39"/>
      <c r="I741" s="39"/>
    </row>
    <row r="742">
      <c r="A742" s="64"/>
      <c r="B742" s="20"/>
      <c r="C742" s="39"/>
      <c r="D742" s="39"/>
      <c r="E742" s="39"/>
      <c r="F742" s="39"/>
      <c r="G742" s="65"/>
      <c r="H742" s="39"/>
      <c r="I742" s="39"/>
    </row>
    <row r="743">
      <c r="A743" s="64"/>
      <c r="B743" s="20"/>
      <c r="C743" s="39"/>
      <c r="D743" s="39"/>
      <c r="E743" s="39"/>
      <c r="F743" s="39"/>
      <c r="G743" s="65"/>
      <c r="H743" s="39"/>
      <c r="I743" s="39"/>
    </row>
    <row r="744">
      <c r="A744" s="64"/>
      <c r="B744" s="20"/>
      <c r="C744" s="39"/>
      <c r="D744" s="39"/>
      <c r="E744" s="39"/>
      <c r="F744" s="39"/>
      <c r="G744" s="65"/>
      <c r="H744" s="39"/>
      <c r="I744" s="39"/>
    </row>
    <row r="745">
      <c r="A745" s="64"/>
      <c r="B745" s="20"/>
      <c r="C745" s="39"/>
      <c r="D745" s="39"/>
      <c r="E745" s="39"/>
      <c r="F745" s="39"/>
      <c r="G745" s="65"/>
      <c r="H745" s="39"/>
      <c r="I745" s="39"/>
    </row>
    <row r="746">
      <c r="A746" s="64"/>
      <c r="B746" s="20"/>
      <c r="C746" s="39"/>
      <c r="D746" s="39"/>
      <c r="E746" s="39"/>
      <c r="F746" s="39"/>
      <c r="G746" s="65"/>
      <c r="H746" s="39"/>
      <c r="I746" s="39"/>
    </row>
    <row r="747">
      <c r="A747" s="64"/>
      <c r="B747" s="20"/>
      <c r="C747" s="39"/>
      <c r="D747" s="39"/>
      <c r="E747" s="39"/>
      <c r="F747" s="39"/>
      <c r="G747" s="65"/>
      <c r="H747" s="39"/>
      <c r="I747" s="39"/>
    </row>
    <row r="748">
      <c r="A748" s="64"/>
      <c r="B748" s="20"/>
      <c r="C748" s="39"/>
      <c r="D748" s="39"/>
      <c r="E748" s="39"/>
      <c r="F748" s="39"/>
      <c r="G748" s="65"/>
      <c r="H748" s="39"/>
      <c r="I748" s="39"/>
    </row>
    <row r="749">
      <c r="A749" s="64"/>
      <c r="B749" s="20"/>
      <c r="C749" s="39"/>
      <c r="D749" s="39"/>
      <c r="E749" s="39"/>
      <c r="F749" s="39"/>
      <c r="G749" s="65"/>
      <c r="H749" s="39"/>
      <c r="I749" s="39"/>
    </row>
    <row r="750">
      <c r="A750" s="64"/>
      <c r="B750" s="20"/>
      <c r="C750" s="39"/>
      <c r="D750" s="39"/>
      <c r="E750" s="39"/>
      <c r="F750" s="39"/>
      <c r="G750" s="65"/>
      <c r="H750" s="39"/>
      <c r="I750" s="39"/>
    </row>
    <row r="751">
      <c r="A751" s="64"/>
      <c r="B751" s="20"/>
      <c r="C751" s="39"/>
      <c r="D751" s="39"/>
      <c r="E751" s="39"/>
      <c r="F751" s="39"/>
      <c r="G751" s="65"/>
      <c r="H751" s="39"/>
      <c r="I751" s="39"/>
    </row>
    <row r="752">
      <c r="A752" s="64"/>
      <c r="B752" s="20"/>
      <c r="C752" s="39"/>
      <c r="D752" s="39"/>
      <c r="E752" s="39"/>
      <c r="F752" s="39"/>
      <c r="G752" s="65"/>
      <c r="H752" s="39"/>
      <c r="I752" s="39"/>
    </row>
    <row r="753">
      <c r="A753" s="64"/>
      <c r="B753" s="20"/>
      <c r="C753" s="39"/>
      <c r="D753" s="39"/>
      <c r="E753" s="39"/>
      <c r="F753" s="39"/>
      <c r="G753" s="65"/>
      <c r="H753" s="39"/>
      <c r="I753" s="39"/>
    </row>
    <row r="754">
      <c r="A754" s="64"/>
      <c r="B754" s="20"/>
      <c r="C754" s="39"/>
      <c r="D754" s="39"/>
      <c r="E754" s="39"/>
      <c r="F754" s="39"/>
      <c r="G754" s="65"/>
      <c r="H754" s="39"/>
      <c r="I754" s="39"/>
    </row>
    <row r="755">
      <c r="A755" s="64"/>
      <c r="B755" s="20"/>
      <c r="C755" s="39"/>
      <c r="D755" s="39"/>
      <c r="E755" s="39"/>
      <c r="F755" s="39"/>
      <c r="G755" s="65"/>
      <c r="H755" s="39"/>
      <c r="I755" s="39"/>
    </row>
    <row r="756">
      <c r="A756" s="64"/>
      <c r="B756" s="20"/>
      <c r="C756" s="39"/>
      <c r="D756" s="39"/>
      <c r="E756" s="39"/>
      <c r="F756" s="39"/>
      <c r="G756" s="65"/>
      <c r="H756" s="39"/>
      <c r="I756" s="39"/>
    </row>
    <row r="757">
      <c r="A757" s="64"/>
      <c r="B757" s="20"/>
      <c r="C757" s="39"/>
      <c r="D757" s="39"/>
      <c r="E757" s="39"/>
      <c r="F757" s="39"/>
      <c r="G757" s="65"/>
      <c r="H757" s="39"/>
      <c r="I757" s="39"/>
    </row>
    <row r="758">
      <c r="A758" s="64"/>
      <c r="B758" s="20"/>
      <c r="C758" s="39"/>
      <c r="D758" s="39"/>
      <c r="E758" s="39"/>
      <c r="F758" s="39"/>
      <c r="G758" s="65"/>
      <c r="H758" s="39"/>
      <c r="I758" s="39"/>
    </row>
    <row r="759">
      <c r="A759" s="64"/>
      <c r="B759" s="20"/>
      <c r="C759" s="39"/>
      <c r="D759" s="39"/>
      <c r="E759" s="39"/>
      <c r="F759" s="39"/>
      <c r="G759" s="65"/>
      <c r="H759" s="39"/>
      <c r="I759" s="39"/>
    </row>
    <row r="760">
      <c r="A760" s="64"/>
      <c r="B760" s="20"/>
      <c r="C760" s="39"/>
      <c r="D760" s="39"/>
      <c r="E760" s="39"/>
      <c r="F760" s="39"/>
      <c r="G760" s="65"/>
      <c r="H760" s="39"/>
      <c r="I760" s="39"/>
    </row>
    <row r="761">
      <c r="A761" s="64"/>
      <c r="B761" s="20"/>
      <c r="C761" s="39"/>
      <c r="D761" s="39"/>
      <c r="E761" s="39"/>
      <c r="F761" s="39"/>
      <c r="G761" s="65"/>
      <c r="H761" s="39"/>
      <c r="I761" s="39"/>
    </row>
    <row r="762">
      <c r="A762" s="64"/>
      <c r="B762" s="20"/>
      <c r="C762" s="39"/>
      <c r="D762" s="39"/>
      <c r="E762" s="39"/>
      <c r="F762" s="39"/>
      <c r="G762" s="65"/>
      <c r="H762" s="39"/>
      <c r="I762" s="39"/>
    </row>
    <row r="763">
      <c r="A763" s="64"/>
      <c r="B763" s="20"/>
      <c r="C763" s="39"/>
      <c r="D763" s="39"/>
      <c r="E763" s="39"/>
      <c r="F763" s="39"/>
      <c r="G763" s="65"/>
      <c r="H763" s="39"/>
      <c r="I763" s="39"/>
    </row>
    <row r="764">
      <c r="A764" s="64"/>
      <c r="B764" s="20"/>
      <c r="C764" s="39"/>
      <c r="D764" s="39"/>
      <c r="E764" s="39"/>
      <c r="F764" s="39"/>
      <c r="G764" s="65"/>
      <c r="H764" s="39"/>
      <c r="I764" s="39"/>
    </row>
    <row r="765">
      <c r="A765" s="64"/>
      <c r="B765" s="20"/>
      <c r="C765" s="39"/>
      <c r="D765" s="39"/>
      <c r="E765" s="39"/>
      <c r="F765" s="39"/>
      <c r="G765" s="65"/>
      <c r="H765" s="39"/>
      <c r="I765" s="39"/>
    </row>
    <row r="766">
      <c r="A766" s="64"/>
      <c r="B766" s="20"/>
      <c r="C766" s="39"/>
      <c r="D766" s="39"/>
      <c r="E766" s="39"/>
      <c r="F766" s="39"/>
      <c r="G766" s="65"/>
      <c r="H766" s="39"/>
      <c r="I766" s="39"/>
    </row>
    <row r="767">
      <c r="A767" s="64"/>
      <c r="B767" s="20"/>
      <c r="C767" s="39"/>
      <c r="D767" s="39"/>
      <c r="E767" s="39"/>
      <c r="F767" s="39"/>
      <c r="G767" s="65"/>
      <c r="H767" s="39"/>
      <c r="I767" s="39"/>
    </row>
    <row r="768">
      <c r="A768" s="64"/>
      <c r="B768" s="20"/>
      <c r="C768" s="39"/>
      <c r="D768" s="39"/>
      <c r="E768" s="39"/>
      <c r="F768" s="39"/>
      <c r="G768" s="65"/>
      <c r="H768" s="39"/>
      <c r="I768" s="39"/>
    </row>
    <row r="769">
      <c r="A769" s="64"/>
      <c r="B769" s="20"/>
      <c r="C769" s="39"/>
      <c r="D769" s="39"/>
      <c r="E769" s="39"/>
      <c r="F769" s="39"/>
      <c r="G769" s="65"/>
      <c r="H769" s="39"/>
      <c r="I769" s="39"/>
    </row>
    <row r="770">
      <c r="A770" s="64"/>
      <c r="B770" s="20"/>
      <c r="C770" s="39"/>
      <c r="D770" s="39"/>
      <c r="E770" s="39"/>
      <c r="F770" s="39"/>
      <c r="G770" s="65"/>
      <c r="H770" s="39"/>
      <c r="I770" s="39"/>
    </row>
    <row r="771">
      <c r="A771" s="64"/>
      <c r="B771" s="20"/>
      <c r="C771" s="39"/>
      <c r="D771" s="39"/>
      <c r="E771" s="39"/>
      <c r="F771" s="39"/>
      <c r="G771" s="65"/>
      <c r="H771" s="39"/>
      <c r="I771" s="39"/>
    </row>
    <row r="772">
      <c r="A772" s="64"/>
      <c r="B772" s="20"/>
      <c r="C772" s="39"/>
      <c r="D772" s="39"/>
      <c r="E772" s="39"/>
      <c r="F772" s="39"/>
      <c r="G772" s="65"/>
      <c r="H772" s="39"/>
      <c r="I772" s="39"/>
    </row>
    <row r="773">
      <c r="A773" s="64"/>
      <c r="B773" s="20"/>
      <c r="C773" s="39"/>
      <c r="D773" s="39"/>
      <c r="E773" s="39"/>
      <c r="F773" s="39"/>
      <c r="G773" s="65"/>
      <c r="H773" s="39"/>
      <c r="I773" s="39"/>
    </row>
    <row r="774">
      <c r="A774" s="64"/>
      <c r="B774" s="20"/>
      <c r="C774" s="39"/>
      <c r="D774" s="39"/>
      <c r="E774" s="39"/>
      <c r="F774" s="39"/>
      <c r="G774" s="65"/>
      <c r="H774" s="39"/>
      <c r="I774" s="39"/>
    </row>
    <row r="775">
      <c r="A775" s="64"/>
      <c r="B775" s="20"/>
      <c r="C775" s="39"/>
      <c r="D775" s="39"/>
      <c r="E775" s="39"/>
      <c r="F775" s="39"/>
      <c r="G775" s="65"/>
      <c r="H775" s="39"/>
      <c r="I775" s="39"/>
    </row>
    <row r="776">
      <c r="A776" s="64"/>
      <c r="B776" s="20"/>
      <c r="C776" s="39"/>
      <c r="D776" s="39"/>
      <c r="E776" s="39"/>
      <c r="F776" s="39"/>
      <c r="G776" s="65"/>
      <c r="H776" s="39"/>
      <c r="I776" s="39"/>
    </row>
    <row r="777">
      <c r="A777" s="64"/>
      <c r="B777" s="20"/>
      <c r="C777" s="39"/>
      <c r="D777" s="39"/>
      <c r="E777" s="39"/>
      <c r="F777" s="39"/>
      <c r="G777" s="65"/>
      <c r="H777" s="39"/>
      <c r="I777" s="39"/>
    </row>
    <row r="778">
      <c r="A778" s="64"/>
      <c r="B778" s="20"/>
      <c r="C778" s="39"/>
      <c r="D778" s="39"/>
      <c r="E778" s="39"/>
      <c r="F778" s="39"/>
      <c r="G778" s="65"/>
      <c r="H778" s="39"/>
      <c r="I778" s="39"/>
    </row>
    <row r="779">
      <c r="A779" s="64"/>
      <c r="B779" s="20"/>
      <c r="C779" s="39"/>
      <c r="D779" s="39"/>
      <c r="E779" s="39"/>
      <c r="F779" s="39"/>
      <c r="G779" s="65"/>
      <c r="H779" s="39"/>
      <c r="I779" s="39"/>
    </row>
    <row r="780">
      <c r="A780" s="64"/>
      <c r="B780" s="20"/>
      <c r="C780" s="39"/>
      <c r="D780" s="39"/>
      <c r="E780" s="39"/>
      <c r="F780" s="39"/>
      <c r="G780" s="65"/>
      <c r="H780" s="39"/>
      <c r="I780" s="39"/>
    </row>
    <row r="781">
      <c r="A781" s="64"/>
      <c r="B781" s="20"/>
      <c r="C781" s="39"/>
      <c r="D781" s="39"/>
      <c r="E781" s="39"/>
      <c r="F781" s="39"/>
      <c r="G781" s="65"/>
      <c r="H781" s="39"/>
      <c r="I781" s="39"/>
    </row>
    <row r="782">
      <c r="A782" s="64"/>
      <c r="B782" s="20"/>
      <c r="C782" s="39"/>
      <c r="D782" s="39"/>
      <c r="E782" s="39"/>
      <c r="F782" s="39"/>
      <c r="G782" s="65"/>
      <c r="H782" s="39"/>
      <c r="I782" s="39"/>
    </row>
    <row r="783">
      <c r="A783" s="64"/>
      <c r="B783" s="20"/>
      <c r="C783" s="39"/>
      <c r="D783" s="39"/>
      <c r="E783" s="39"/>
      <c r="F783" s="39"/>
      <c r="G783" s="65"/>
      <c r="H783" s="39"/>
      <c r="I783" s="39"/>
    </row>
    <row r="784">
      <c r="A784" s="64"/>
      <c r="B784" s="20"/>
      <c r="C784" s="39"/>
      <c r="D784" s="39"/>
      <c r="E784" s="39"/>
      <c r="F784" s="39"/>
      <c r="G784" s="65"/>
      <c r="H784" s="39"/>
      <c r="I784" s="39"/>
    </row>
    <row r="785">
      <c r="A785" s="64"/>
      <c r="B785" s="20"/>
      <c r="C785" s="39"/>
      <c r="D785" s="39"/>
      <c r="E785" s="39"/>
      <c r="F785" s="39"/>
      <c r="G785" s="65"/>
      <c r="H785" s="39"/>
      <c r="I785" s="39"/>
    </row>
    <row r="786">
      <c r="A786" s="64"/>
      <c r="B786" s="20"/>
      <c r="C786" s="39"/>
      <c r="D786" s="39"/>
      <c r="E786" s="39"/>
      <c r="F786" s="39"/>
      <c r="G786" s="65"/>
      <c r="H786" s="39"/>
      <c r="I786" s="39"/>
    </row>
    <row r="787">
      <c r="A787" s="64"/>
      <c r="B787" s="20"/>
      <c r="C787" s="39"/>
      <c r="D787" s="39"/>
      <c r="E787" s="39"/>
      <c r="F787" s="39"/>
      <c r="G787" s="65"/>
      <c r="H787" s="39"/>
      <c r="I787" s="39"/>
    </row>
    <row r="788">
      <c r="A788" s="64"/>
      <c r="B788" s="20"/>
      <c r="C788" s="39"/>
      <c r="D788" s="39"/>
      <c r="E788" s="39"/>
      <c r="F788" s="39"/>
      <c r="G788" s="65"/>
      <c r="H788" s="39"/>
      <c r="I788" s="39"/>
    </row>
    <row r="789">
      <c r="A789" s="64"/>
      <c r="B789" s="20"/>
      <c r="C789" s="39"/>
      <c r="D789" s="39"/>
      <c r="E789" s="39"/>
      <c r="F789" s="39"/>
      <c r="G789" s="65"/>
      <c r="H789" s="39"/>
      <c r="I789" s="39"/>
    </row>
    <row r="790">
      <c r="A790" s="64"/>
      <c r="B790" s="20"/>
      <c r="C790" s="39"/>
      <c r="D790" s="39"/>
      <c r="E790" s="39"/>
      <c r="F790" s="39"/>
      <c r="G790" s="65"/>
      <c r="H790" s="39"/>
      <c r="I790" s="39"/>
    </row>
    <row r="791">
      <c r="A791" s="64"/>
      <c r="B791" s="20"/>
      <c r="C791" s="39"/>
      <c r="D791" s="39"/>
      <c r="E791" s="39"/>
      <c r="F791" s="39"/>
      <c r="G791" s="65"/>
      <c r="H791" s="39"/>
      <c r="I791" s="39"/>
    </row>
    <row r="792">
      <c r="A792" s="64"/>
      <c r="B792" s="20"/>
      <c r="C792" s="39"/>
      <c r="D792" s="39"/>
      <c r="E792" s="39"/>
      <c r="F792" s="39"/>
      <c r="G792" s="65"/>
      <c r="H792" s="39"/>
      <c r="I792" s="39"/>
    </row>
    <row r="793">
      <c r="A793" s="64"/>
      <c r="B793" s="20"/>
      <c r="C793" s="39"/>
      <c r="D793" s="39"/>
      <c r="E793" s="39"/>
      <c r="F793" s="39"/>
      <c r="G793" s="65"/>
      <c r="H793" s="39"/>
      <c r="I793" s="39"/>
    </row>
    <row r="794">
      <c r="A794" s="64"/>
      <c r="B794" s="20"/>
      <c r="C794" s="39"/>
      <c r="D794" s="39"/>
      <c r="E794" s="39"/>
      <c r="F794" s="39"/>
      <c r="G794" s="65"/>
      <c r="H794" s="39"/>
      <c r="I794" s="39"/>
    </row>
    <row r="795">
      <c r="A795" s="64"/>
      <c r="B795" s="20"/>
      <c r="C795" s="39"/>
      <c r="D795" s="39"/>
      <c r="E795" s="39"/>
      <c r="F795" s="39"/>
      <c r="G795" s="65"/>
      <c r="H795" s="39"/>
      <c r="I795" s="39"/>
    </row>
    <row r="796">
      <c r="A796" s="64"/>
      <c r="B796" s="20"/>
      <c r="C796" s="39"/>
      <c r="D796" s="39"/>
      <c r="E796" s="39"/>
      <c r="F796" s="39"/>
      <c r="G796" s="65"/>
      <c r="H796" s="39"/>
      <c r="I796" s="39"/>
    </row>
    <row r="797">
      <c r="A797" s="64"/>
      <c r="B797" s="20"/>
      <c r="C797" s="39"/>
      <c r="D797" s="39"/>
      <c r="E797" s="39"/>
      <c r="F797" s="39"/>
      <c r="G797" s="65"/>
      <c r="H797" s="39"/>
      <c r="I797" s="39"/>
    </row>
    <row r="798">
      <c r="A798" s="64"/>
      <c r="B798" s="20"/>
      <c r="C798" s="39"/>
      <c r="D798" s="39"/>
      <c r="E798" s="39"/>
      <c r="F798" s="39"/>
      <c r="G798" s="65"/>
      <c r="H798" s="39"/>
      <c r="I798" s="39"/>
    </row>
    <row r="799">
      <c r="A799" s="64"/>
      <c r="B799" s="20"/>
      <c r="C799" s="39"/>
      <c r="D799" s="39"/>
      <c r="E799" s="39"/>
      <c r="F799" s="39"/>
      <c r="G799" s="65"/>
      <c r="H799" s="39"/>
      <c r="I799" s="39"/>
    </row>
    <row r="800">
      <c r="A800" s="64"/>
      <c r="B800" s="20"/>
      <c r="C800" s="39"/>
      <c r="D800" s="39"/>
      <c r="E800" s="39"/>
      <c r="F800" s="39"/>
      <c r="G800" s="65"/>
      <c r="H800" s="39"/>
      <c r="I800" s="39"/>
    </row>
    <row r="801">
      <c r="A801" s="64"/>
      <c r="B801" s="20"/>
      <c r="C801" s="39"/>
      <c r="D801" s="39"/>
      <c r="E801" s="39"/>
      <c r="F801" s="39"/>
      <c r="G801" s="65"/>
      <c r="H801" s="39"/>
      <c r="I801" s="39"/>
    </row>
    <row r="802">
      <c r="A802" s="64"/>
      <c r="B802" s="20"/>
      <c r="C802" s="39"/>
      <c r="D802" s="39"/>
      <c r="E802" s="39"/>
      <c r="F802" s="39"/>
      <c r="G802" s="65"/>
      <c r="H802" s="39"/>
      <c r="I802" s="39"/>
    </row>
    <row r="803">
      <c r="A803" s="64"/>
      <c r="B803" s="20"/>
      <c r="C803" s="39"/>
      <c r="D803" s="39"/>
      <c r="E803" s="39"/>
      <c r="F803" s="39"/>
      <c r="G803" s="65"/>
      <c r="H803" s="39"/>
      <c r="I803" s="39"/>
    </row>
    <row r="804">
      <c r="A804" s="64"/>
      <c r="B804" s="20"/>
      <c r="C804" s="39"/>
      <c r="D804" s="39"/>
      <c r="E804" s="39"/>
      <c r="F804" s="39"/>
      <c r="G804" s="65"/>
      <c r="H804" s="39"/>
      <c r="I804" s="39"/>
    </row>
    <row r="805">
      <c r="A805" s="64"/>
      <c r="B805" s="20"/>
      <c r="C805" s="39"/>
      <c r="D805" s="39"/>
      <c r="E805" s="39"/>
      <c r="F805" s="39"/>
      <c r="G805" s="65"/>
      <c r="H805" s="39"/>
      <c r="I805" s="39"/>
    </row>
    <row r="806">
      <c r="A806" s="64"/>
      <c r="B806" s="20"/>
      <c r="C806" s="39"/>
      <c r="D806" s="39"/>
      <c r="E806" s="39"/>
      <c r="F806" s="39"/>
      <c r="G806" s="65"/>
      <c r="H806" s="39"/>
      <c r="I806" s="39"/>
    </row>
    <row r="807">
      <c r="A807" s="64"/>
      <c r="B807" s="20"/>
      <c r="C807" s="39"/>
      <c r="D807" s="39"/>
      <c r="E807" s="39"/>
      <c r="F807" s="39"/>
      <c r="G807" s="65"/>
      <c r="H807" s="39"/>
      <c r="I807" s="39"/>
    </row>
    <row r="808">
      <c r="A808" s="64"/>
      <c r="B808" s="20"/>
      <c r="C808" s="39"/>
      <c r="D808" s="39"/>
      <c r="E808" s="39"/>
      <c r="F808" s="39"/>
      <c r="G808" s="65"/>
      <c r="H808" s="39"/>
      <c r="I808" s="39"/>
    </row>
    <row r="809">
      <c r="A809" s="64"/>
      <c r="B809" s="20"/>
      <c r="C809" s="39"/>
      <c r="D809" s="39"/>
      <c r="E809" s="39"/>
      <c r="F809" s="39"/>
      <c r="G809" s="65"/>
      <c r="H809" s="39"/>
      <c r="I809" s="39"/>
    </row>
    <row r="810">
      <c r="A810" s="64"/>
      <c r="B810" s="20"/>
      <c r="C810" s="39"/>
      <c r="D810" s="39"/>
      <c r="E810" s="39"/>
      <c r="F810" s="39"/>
      <c r="G810" s="65"/>
      <c r="H810" s="39"/>
      <c r="I810" s="39"/>
    </row>
    <row r="811">
      <c r="A811" s="64"/>
      <c r="B811" s="20"/>
      <c r="C811" s="39"/>
      <c r="D811" s="39"/>
      <c r="E811" s="39"/>
      <c r="F811" s="39"/>
      <c r="G811" s="65"/>
      <c r="H811" s="39"/>
      <c r="I811" s="39"/>
    </row>
    <row r="812">
      <c r="A812" s="64"/>
      <c r="B812" s="20"/>
      <c r="C812" s="39"/>
      <c r="D812" s="39"/>
      <c r="E812" s="39"/>
      <c r="F812" s="39"/>
      <c r="G812" s="65"/>
      <c r="H812" s="39"/>
      <c r="I812" s="39"/>
    </row>
    <row r="813">
      <c r="A813" s="64"/>
      <c r="B813" s="20"/>
      <c r="C813" s="39"/>
      <c r="D813" s="39"/>
      <c r="E813" s="39"/>
      <c r="F813" s="39"/>
      <c r="G813" s="65"/>
      <c r="H813" s="39"/>
      <c r="I813" s="39"/>
    </row>
    <row r="814">
      <c r="A814" s="64"/>
      <c r="B814" s="20"/>
      <c r="C814" s="39"/>
      <c r="D814" s="39"/>
      <c r="E814" s="39"/>
      <c r="F814" s="39"/>
      <c r="G814" s="65"/>
      <c r="H814" s="39"/>
      <c r="I814" s="39"/>
    </row>
    <row r="815">
      <c r="A815" s="64"/>
      <c r="B815" s="20"/>
      <c r="C815" s="39"/>
      <c r="D815" s="39"/>
      <c r="E815" s="39"/>
      <c r="F815" s="39"/>
      <c r="G815" s="65"/>
      <c r="H815" s="39"/>
      <c r="I815" s="39"/>
    </row>
    <row r="816">
      <c r="A816" s="64"/>
      <c r="B816" s="20"/>
      <c r="C816" s="39"/>
      <c r="D816" s="39"/>
      <c r="E816" s="39"/>
      <c r="F816" s="39"/>
      <c r="G816" s="65"/>
      <c r="H816" s="39"/>
      <c r="I816" s="39"/>
    </row>
    <row r="817">
      <c r="A817" s="64"/>
      <c r="B817" s="20"/>
      <c r="C817" s="39"/>
      <c r="D817" s="39"/>
      <c r="E817" s="39"/>
      <c r="F817" s="39"/>
      <c r="G817" s="65"/>
      <c r="H817" s="39"/>
      <c r="I817" s="39"/>
    </row>
    <row r="818">
      <c r="A818" s="64"/>
      <c r="B818" s="20"/>
      <c r="C818" s="39"/>
      <c r="D818" s="39"/>
      <c r="E818" s="39"/>
      <c r="F818" s="39"/>
      <c r="G818" s="65"/>
      <c r="H818" s="39"/>
      <c r="I818" s="39"/>
    </row>
    <row r="819">
      <c r="A819" s="64"/>
      <c r="B819" s="20"/>
      <c r="C819" s="39"/>
      <c r="D819" s="39"/>
      <c r="E819" s="39"/>
      <c r="F819" s="39"/>
      <c r="G819" s="65"/>
      <c r="H819" s="39"/>
      <c r="I819" s="39"/>
    </row>
    <row r="820">
      <c r="A820" s="64"/>
      <c r="B820" s="20"/>
      <c r="C820" s="39"/>
      <c r="D820" s="39"/>
      <c r="E820" s="39"/>
      <c r="F820" s="39"/>
      <c r="G820" s="65"/>
      <c r="H820" s="39"/>
      <c r="I820" s="39"/>
    </row>
    <row r="821">
      <c r="A821" s="64"/>
      <c r="B821" s="20"/>
      <c r="C821" s="39"/>
      <c r="D821" s="39"/>
      <c r="E821" s="39"/>
      <c r="F821" s="39"/>
      <c r="G821" s="65"/>
      <c r="H821" s="39"/>
      <c r="I821" s="39"/>
    </row>
    <row r="822">
      <c r="A822" s="64"/>
      <c r="B822" s="20"/>
      <c r="C822" s="39"/>
      <c r="D822" s="39"/>
      <c r="E822" s="39"/>
      <c r="F822" s="39"/>
      <c r="G822" s="65"/>
      <c r="H822" s="39"/>
      <c r="I822" s="39"/>
    </row>
    <row r="823">
      <c r="A823" s="64"/>
      <c r="B823" s="20"/>
      <c r="C823" s="39"/>
      <c r="D823" s="39"/>
      <c r="E823" s="39"/>
      <c r="F823" s="39"/>
      <c r="G823" s="65"/>
      <c r="H823" s="39"/>
      <c r="I823" s="39"/>
    </row>
    <row r="824">
      <c r="A824" s="64"/>
      <c r="B824" s="20"/>
      <c r="C824" s="39"/>
      <c r="D824" s="39"/>
      <c r="E824" s="39"/>
      <c r="F824" s="39"/>
      <c r="G824" s="65"/>
      <c r="H824" s="39"/>
      <c r="I824" s="39"/>
    </row>
    <row r="825">
      <c r="A825" s="64"/>
      <c r="B825" s="20"/>
      <c r="C825" s="39"/>
      <c r="D825" s="39"/>
      <c r="E825" s="39"/>
      <c r="F825" s="39"/>
      <c r="G825" s="65"/>
      <c r="H825" s="39"/>
      <c r="I825" s="39"/>
    </row>
    <row r="826">
      <c r="A826" s="64"/>
      <c r="B826" s="20"/>
      <c r="C826" s="39"/>
      <c r="D826" s="39"/>
      <c r="E826" s="39"/>
      <c r="F826" s="39"/>
      <c r="G826" s="65"/>
      <c r="H826" s="39"/>
      <c r="I826" s="39"/>
    </row>
    <row r="827">
      <c r="A827" s="64"/>
      <c r="B827" s="20"/>
      <c r="C827" s="39"/>
      <c r="D827" s="39"/>
      <c r="E827" s="39"/>
      <c r="F827" s="39"/>
      <c r="G827" s="65"/>
      <c r="H827" s="39"/>
      <c r="I827" s="39"/>
    </row>
    <row r="828">
      <c r="A828" s="64"/>
      <c r="B828" s="20"/>
      <c r="C828" s="39"/>
      <c r="D828" s="39"/>
      <c r="E828" s="39"/>
      <c r="F828" s="39"/>
      <c r="G828" s="65"/>
      <c r="H828" s="39"/>
      <c r="I828" s="39"/>
    </row>
    <row r="829">
      <c r="A829" s="64"/>
      <c r="B829" s="20"/>
      <c r="C829" s="39"/>
      <c r="D829" s="39"/>
      <c r="E829" s="39"/>
      <c r="F829" s="39"/>
      <c r="G829" s="65"/>
      <c r="H829" s="39"/>
      <c r="I829" s="39"/>
    </row>
    <row r="830">
      <c r="A830" s="64"/>
      <c r="B830" s="20"/>
      <c r="C830" s="39"/>
      <c r="D830" s="39"/>
      <c r="E830" s="39"/>
      <c r="F830" s="39"/>
      <c r="G830" s="65"/>
      <c r="H830" s="39"/>
      <c r="I830" s="39"/>
    </row>
    <row r="831">
      <c r="A831" s="64"/>
      <c r="B831" s="20"/>
      <c r="C831" s="39"/>
      <c r="D831" s="39"/>
      <c r="E831" s="39"/>
      <c r="F831" s="39"/>
      <c r="G831" s="65"/>
      <c r="H831" s="39"/>
      <c r="I831" s="39"/>
    </row>
    <row r="832">
      <c r="A832" s="64"/>
      <c r="B832" s="20"/>
      <c r="C832" s="39"/>
      <c r="D832" s="39"/>
      <c r="E832" s="39"/>
      <c r="F832" s="39"/>
      <c r="G832" s="65"/>
      <c r="H832" s="39"/>
      <c r="I832" s="39"/>
    </row>
    <row r="833">
      <c r="A833" s="64"/>
      <c r="B833" s="20"/>
      <c r="C833" s="39"/>
      <c r="D833" s="39"/>
      <c r="E833" s="39"/>
      <c r="F833" s="39"/>
      <c r="G833" s="65"/>
      <c r="H833" s="39"/>
      <c r="I833" s="39"/>
    </row>
    <row r="834">
      <c r="A834" s="64"/>
      <c r="B834" s="20"/>
      <c r="C834" s="39"/>
      <c r="D834" s="39"/>
      <c r="E834" s="39"/>
      <c r="F834" s="39"/>
      <c r="G834" s="65"/>
      <c r="H834" s="39"/>
      <c r="I834" s="39"/>
    </row>
    <row r="835">
      <c r="A835" s="64"/>
      <c r="B835" s="20"/>
      <c r="C835" s="39"/>
      <c r="D835" s="39"/>
      <c r="E835" s="39"/>
      <c r="F835" s="39"/>
      <c r="G835" s="65"/>
      <c r="H835" s="39"/>
      <c r="I835" s="39"/>
    </row>
    <row r="836">
      <c r="A836" s="64"/>
      <c r="B836" s="20"/>
      <c r="C836" s="39"/>
      <c r="D836" s="39"/>
      <c r="E836" s="39"/>
      <c r="F836" s="39"/>
      <c r="G836" s="65"/>
      <c r="H836" s="39"/>
      <c r="I836" s="39"/>
    </row>
    <row r="837">
      <c r="A837" s="64"/>
      <c r="B837" s="20"/>
      <c r="C837" s="39"/>
      <c r="D837" s="39"/>
      <c r="E837" s="39"/>
      <c r="F837" s="39"/>
      <c r="G837" s="65"/>
      <c r="H837" s="39"/>
      <c r="I837" s="39"/>
    </row>
    <row r="838">
      <c r="A838" s="64"/>
      <c r="B838" s="20"/>
      <c r="C838" s="39"/>
      <c r="D838" s="39"/>
      <c r="E838" s="39"/>
      <c r="F838" s="39"/>
      <c r="G838" s="65"/>
      <c r="H838" s="39"/>
      <c r="I838" s="39"/>
    </row>
    <row r="839">
      <c r="A839" s="64"/>
      <c r="B839" s="20"/>
      <c r="C839" s="39"/>
      <c r="D839" s="39"/>
      <c r="E839" s="39"/>
      <c r="F839" s="39"/>
      <c r="G839" s="65"/>
      <c r="H839" s="39"/>
      <c r="I839" s="39"/>
    </row>
    <row r="840">
      <c r="A840" s="64"/>
      <c r="B840" s="20"/>
      <c r="C840" s="39"/>
      <c r="D840" s="39"/>
      <c r="E840" s="39"/>
      <c r="F840" s="39"/>
      <c r="G840" s="65"/>
      <c r="H840" s="39"/>
      <c r="I840" s="39"/>
    </row>
    <row r="841">
      <c r="A841" s="64"/>
      <c r="B841" s="20"/>
      <c r="C841" s="39"/>
      <c r="D841" s="39"/>
      <c r="E841" s="39"/>
      <c r="F841" s="39"/>
      <c r="G841" s="65"/>
      <c r="H841" s="39"/>
      <c r="I841" s="39"/>
    </row>
    <row r="842">
      <c r="A842" s="64"/>
      <c r="B842" s="20"/>
      <c r="C842" s="39"/>
      <c r="D842" s="39"/>
      <c r="E842" s="39"/>
      <c r="F842" s="39"/>
      <c r="G842" s="65"/>
      <c r="H842" s="39"/>
      <c r="I842" s="39"/>
    </row>
    <row r="843">
      <c r="A843" s="64"/>
      <c r="B843" s="20"/>
      <c r="C843" s="39"/>
      <c r="D843" s="39"/>
      <c r="E843" s="39"/>
      <c r="F843" s="39"/>
      <c r="G843" s="65"/>
      <c r="H843" s="39"/>
      <c r="I843" s="39"/>
    </row>
    <row r="844">
      <c r="A844" s="64"/>
      <c r="B844" s="20"/>
      <c r="C844" s="39"/>
      <c r="D844" s="39"/>
      <c r="E844" s="39"/>
      <c r="F844" s="39"/>
      <c r="G844" s="65"/>
      <c r="H844" s="39"/>
      <c r="I844" s="39"/>
    </row>
    <row r="845">
      <c r="A845" s="64"/>
      <c r="B845" s="20"/>
      <c r="C845" s="39"/>
      <c r="D845" s="39"/>
      <c r="E845" s="39"/>
      <c r="F845" s="39"/>
      <c r="G845" s="65"/>
      <c r="H845" s="39"/>
      <c r="I845" s="39"/>
    </row>
    <row r="846">
      <c r="A846" s="64"/>
      <c r="B846" s="20"/>
      <c r="C846" s="39"/>
      <c r="D846" s="39"/>
      <c r="E846" s="39"/>
      <c r="F846" s="39"/>
      <c r="G846" s="65"/>
      <c r="H846" s="39"/>
      <c r="I846" s="39"/>
    </row>
    <row r="847">
      <c r="A847" s="64"/>
      <c r="B847" s="20"/>
      <c r="C847" s="39"/>
      <c r="D847" s="39"/>
      <c r="E847" s="39"/>
      <c r="F847" s="39"/>
      <c r="G847" s="65"/>
      <c r="H847" s="39"/>
      <c r="I847" s="39"/>
    </row>
    <row r="848">
      <c r="A848" s="64"/>
      <c r="B848" s="20"/>
      <c r="C848" s="39"/>
      <c r="D848" s="39"/>
      <c r="E848" s="39"/>
      <c r="F848" s="39"/>
      <c r="G848" s="65"/>
      <c r="H848" s="39"/>
      <c r="I848" s="39"/>
    </row>
    <row r="849">
      <c r="A849" s="64"/>
      <c r="B849" s="20"/>
      <c r="C849" s="39"/>
      <c r="D849" s="39"/>
      <c r="E849" s="39"/>
      <c r="F849" s="39"/>
      <c r="G849" s="65"/>
      <c r="H849" s="39"/>
      <c r="I849" s="39"/>
    </row>
    <row r="850">
      <c r="A850" s="64"/>
      <c r="B850" s="20"/>
      <c r="C850" s="39"/>
      <c r="D850" s="39"/>
      <c r="E850" s="39"/>
      <c r="F850" s="39"/>
      <c r="G850" s="65"/>
      <c r="H850" s="39"/>
      <c r="I850" s="39"/>
    </row>
    <row r="851">
      <c r="A851" s="64"/>
      <c r="B851" s="20"/>
      <c r="C851" s="39"/>
      <c r="D851" s="39"/>
      <c r="E851" s="39"/>
      <c r="F851" s="39"/>
      <c r="G851" s="65"/>
      <c r="H851" s="39"/>
      <c r="I851" s="39"/>
    </row>
    <row r="852">
      <c r="A852" s="64"/>
      <c r="B852" s="20"/>
      <c r="C852" s="39"/>
      <c r="D852" s="39"/>
      <c r="E852" s="39"/>
      <c r="F852" s="39"/>
      <c r="G852" s="65"/>
      <c r="H852" s="39"/>
      <c r="I852" s="39"/>
    </row>
    <row r="853">
      <c r="A853" s="64"/>
      <c r="B853" s="20"/>
      <c r="C853" s="39"/>
      <c r="D853" s="39"/>
      <c r="E853" s="39"/>
      <c r="F853" s="39"/>
      <c r="G853" s="65"/>
      <c r="H853" s="39"/>
      <c r="I853" s="39"/>
    </row>
    <row r="854">
      <c r="A854" s="64"/>
      <c r="B854" s="20"/>
      <c r="C854" s="39"/>
      <c r="D854" s="39"/>
      <c r="E854" s="39"/>
      <c r="F854" s="39"/>
      <c r="G854" s="65"/>
      <c r="H854" s="39"/>
      <c r="I854" s="39"/>
    </row>
    <row r="855">
      <c r="A855" s="64"/>
      <c r="B855" s="20"/>
      <c r="C855" s="39"/>
      <c r="D855" s="39"/>
      <c r="E855" s="39"/>
      <c r="F855" s="39"/>
      <c r="G855" s="65"/>
      <c r="H855" s="39"/>
      <c r="I855" s="39"/>
    </row>
    <row r="856">
      <c r="A856" s="64"/>
      <c r="B856" s="20"/>
      <c r="C856" s="39"/>
      <c r="D856" s="39"/>
      <c r="E856" s="39"/>
      <c r="F856" s="39"/>
      <c r="G856" s="65"/>
      <c r="H856" s="39"/>
      <c r="I856" s="39"/>
    </row>
    <row r="857">
      <c r="A857" s="64"/>
      <c r="B857" s="20"/>
      <c r="C857" s="39"/>
      <c r="D857" s="39"/>
      <c r="E857" s="39"/>
      <c r="F857" s="39"/>
      <c r="G857" s="65"/>
      <c r="H857" s="39"/>
      <c r="I857" s="39"/>
    </row>
    <row r="858">
      <c r="A858" s="64"/>
      <c r="B858" s="20"/>
      <c r="C858" s="39"/>
      <c r="D858" s="39"/>
      <c r="E858" s="39"/>
      <c r="F858" s="39"/>
      <c r="G858" s="65"/>
      <c r="H858" s="39"/>
      <c r="I858" s="39"/>
    </row>
    <row r="859">
      <c r="A859" s="64"/>
      <c r="B859" s="20"/>
      <c r="C859" s="39"/>
      <c r="D859" s="39"/>
      <c r="E859" s="39"/>
      <c r="F859" s="39"/>
      <c r="G859" s="65"/>
      <c r="H859" s="39"/>
      <c r="I859" s="39"/>
    </row>
    <row r="860">
      <c r="A860" s="64"/>
      <c r="B860" s="20"/>
      <c r="C860" s="39"/>
      <c r="D860" s="39"/>
      <c r="E860" s="39"/>
      <c r="F860" s="39"/>
      <c r="G860" s="65"/>
      <c r="H860" s="39"/>
      <c r="I860" s="39"/>
    </row>
    <row r="861">
      <c r="A861" s="64"/>
      <c r="B861" s="20"/>
      <c r="C861" s="39"/>
      <c r="D861" s="39"/>
      <c r="E861" s="39"/>
      <c r="F861" s="39"/>
      <c r="G861" s="65"/>
      <c r="H861" s="39"/>
      <c r="I861" s="39"/>
    </row>
    <row r="862">
      <c r="A862" s="64"/>
      <c r="B862" s="20"/>
      <c r="C862" s="39"/>
      <c r="D862" s="39"/>
      <c r="E862" s="39"/>
      <c r="F862" s="39"/>
      <c r="G862" s="65"/>
      <c r="H862" s="39"/>
      <c r="I862" s="39"/>
    </row>
    <row r="863">
      <c r="A863" s="64"/>
      <c r="B863" s="20"/>
      <c r="C863" s="39"/>
      <c r="D863" s="39"/>
      <c r="E863" s="39"/>
      <c r="F863" s="39"/>
      <c r="G863" s="65"/>
      <c r="H863" s="39"/>
      <c r="I863" s="39"/>
    </row>
    <row r="864">
      <c r="A864" s="64"/>
      <c r="B864" s="20"/>
      <c r="C864" s="39"/>
      <c r="D864" s="39"/>
      <c r="E864" s="39"/>
      <c r="F864" s="39"/>
      <c r="G864" s="65"/>
      <c r="H864" s="39"/>
      <c r="I864" s="39"/>
    </row>
    <row r="865">
      <c r="A865" s="64"/>
      <c r="B865" s="20"/>
      <c r="C865" s="39"/>
      <c r="D865" s="39"/>
      <c r="E865" s="39"/>
      <c r="F865" s="39"/>
      <c r="G865" s="65"/>
      <c r="H865" s="39"/>
      <c r="I865" s="39"/>
    </row>
    <row r="866">
      <c r="A866" s="64"/>
      <c r="B866" s="20"/>
      <c r="C866" s="39"/>
      <c r="D866" s="39"/>
      <c r="E866" s="39"/>
      <c r="F866" s="39"/>
      <c r="G866" s="65"/>
      <c r="H866" s="39"/>
      <c r="I866" s="39"/>
    </row>
    <row r="867">
      <c r="A867" s="64"/>
      <c r="B867" s="20"/>
      <c r="C867" s="39"/>
      <c r="D867" s="39"/>
      <c r="E867" s="39"/>
      <c r="F867" s="39"/>
      <c r="G867" s="65"/>
      <c r="H867" s="39"/>
      <c r="I867" s="39"/>
    </row>
    <row r="868">
      <c r="A868" s="64"/>
      <c r="B868" s="20"/>
      <c r="C868" s="39"/>
      <c r="D868" s="39"/>
      <c r="E868" s="39"/>
      <c r="F868" s="39"/>
      <c r="G868" s="65"/>
      <c r="H868" s="39"/>
      <c r="I868" s="39"/>
    </row>
    <row r="869">
      <c r="A869" s="64"/>
      <c r="B869" s="20"/>
      <c r="C869" s="39"/>
      <c r="D869" s="39"/>
      <c r="E869" s="39"/>
      <c r="F869" s="39"/>
      <c r="G869" s="65"/>
      <c r="H869" s="39"/>
      <c r="I869" s="39"/>
    </row>
    <row r="870">
      <c r="A870" s="64"/>
      <c r="B870" s="20"/>
      <c r="C870" s="39"/>
      <c r="D870" s="39"/>
      <c r="E870" s="39"/>
      <c r="F870" s="39"/>
      <c r="G870" s="65"/>
      <c r="H870" s="39"/>
      <c r="I870" s="39"/>
    </row>
    <row r="871">
      <c r="A871" s="64"/>
      <c r="B871" s="20"/>
      <c r="C871" s="39"/>
      <c r="D871" s="39"/>
      <c r="E871" s="39"/>
      <c r="F871" s="39"/>
      <c r="G871" s="65"/>
      <c r="H871" s="39"/>
      <c r="I871" s="39"/>
    </row>
    <row r="872">
      <c r="A872" s="64"/>
      <c r="B872" s="20"/>
      <c r="C872" s="39"/>
      <c r="D872" s="39"/>
      <c r="E872" s="39"/>
      <c r="F872" s="39"/>
      <c r="G872" s="65"/>
      <c r="H872" s="39"/>
      <c r="I872" s="39"/>
    </row>
    <row r="873">
      <c r="A873" s="64"/>
      <c r="B873" s="20"/>
      <c r="C873" s="39"/>
      <c r="D873" s="39"/>
      <c r="E873" s="39"/>
      <c r="F873" s="39"/>
      <c r="G873" s="65"/>
      <c r="H873" s="39"/>
      <c r="I873" s="39"/>
    </row>
    <row r="874">
      <c r="A874" s="64"/>
      <c r="B874" s="20"/>
      <c r="C874" s="39"/>
      <c r="D874" s="39"/>
      <c r="E874" s="39"/>
      <c r="F874" s="39"/>
      <c r="G874" s="65"/>
      <c r="H874" s="39"/>
      <c r="I874" s="39"/>
    </row>
    <row r="875">
      <c r="A875" s="64"/>
      <c r="B875" s="20"/>
      <c r="C875" s="39"/>
      <c r="D875" s="39"/>
      <c r="E875" s="39"/>
      <c r="F875" s="39"/>
      <c r="G875" s="65"/>
      <c r="H875" s="39"/>
      <c r="I875" s="39"/>
    </row>
    <row r="876">
      <c r="A876" s="64"/>
      <c r="B876" s="20"/>
      <c r="C876" s="39"/>
      <c r="D876" s="39"/>
      <c r="E876" s="39"/>
      <c r="F876" s="39"/>
      <c r="G876" s="65"/>
      <c r="H876" s="39"/>
      <c r="I876" s="39"/>
    </row>
    <row r="877">
      <c r="A877" s="64"/>
      <c r="B877" s="20"/>
      <c r="C877" s="39"/>
      <c r="D877" s="39"/>
      <c r="E877" s="39"/>
      <c r="F877" s="39"/>
      <c r="G877" s="65"/>
      <c r="H877" s="39"/>
      <c r="I877" s="39"/>
    </row>
    <row r="878">
      <c r="A878" s="64"/>
      <c r="B878" s="20"/>
      <c r="C878" s="39"/>
      <c r="D878" s="39"/>
      <c r="E878" s="39"/>
      <c r="F878" s="39"/>
      <c r="G878" s="65"/>
      <c r="H878" s="39"/>
      <c r="I878" s="39"/>
    </row>
    <row r="879">
      <c r="A879" s="64"/>
      <c r="B879" s="20"/>
      <c r="C879" s="39"/>
      <c r="D879" s="39"/>
      <c r="E879" s="39"/>
      <c r="F879" s="39"/>
      <c r="G879" s="65"/>
      <c r="H879" s="39"/>
      <c r="I879" s="39"/>
    </row>
    <row r="880">
      <c r="A880" s="64"/>
      <c r="B880" s="20"/>
      <c r="C880" s="39"/>
      <c r="D880" s="39"/>
      <c r="E880" s="39"/>
      <c r="F880" s="39"/>
      <c r="G880" s="65"/>
      <c r="H880" s="39"/>
      <c r="I880" s="39"/>
    </row>
    <row r="881">
      <c r="A881" s="64"/>
      <c r="B881" s="20"/>
      <c r="C881" s="39"/>
      <c r="D881" s="39"/>
      <c r="E881" s="39"/>
      <c r="F881" s="39"/>
      <c r="G881" s="65"/>
      <c r="H881" s="39"/>
      <c r="I881" s="39"/>
    </row>
    <row r="882">
      <c r="A882" s="64"/>
      <c r="B882" s="20"/>
      <c r="C882" s="39"/>
      <c r="D882" s="39"/>
      <c r="E882" s="39"/>
      <c r="F882" s="39"/>
      <c r="G882" s="65"/>
      <c r="H882" s="39"/>
      <c r="I882" s="39"/>
    </row>
    <row r="883">
      <c r="A883" s="64"/>
      <c r="B883" s="20"/>
      <c r="C883" s="39"/>
      <c r="D883" s="39"/>
      <c r="E883" s="39"/>
      <c r="F883" s="39"/>
      <c r="G883" s="65"/>
      <c r="H883" s="39"/>
      <c r="I883" s="39"/>
    </row>
    <row r="884">
      <c r="A884" s="64"/>
      <c r="B884" s="20"/>
      <c r="C884" s="39"/>
      <c r="D884" s="39"/>
      <c r="E884" s="39"/>
      <c r="F884" s="39"/>
      <c r="G884" s="65"/>
      <c r="H884" s="39"/>
      <c r="I884" s="39"/>
    </row>
    <row r="885">
      <c r="A885" s="64"/>
      <c r="B885" s="20"/>
      <c r="C885" s="39"/>
      <c r="D885" s="39"/>
      <c r="E885" s="39"/>
      <c r="F885" s="39"/>
      <c r="G885" s="65"/>
      <c r="H885" s="39"/>
      <c r="I885" s="39"/>
    </row>
    <row r="886">
      <c r="A886" s="64"/>
      <c r="B886" s="20"/>
      <c r="C886" s="39"/>
      <c r="D886" s="39"/>
      <c r="E886" s="39"/>
      <c r="F886" s="39"/>
      <c r="G886" s="65"/>
      <c r="H886" s="39"/>
      <c r="I886" s="39"/>
    </row>
    <row r="887">
      <c r="A887" s="64"/>
      <c r="B887" s="20"/>
      <c r="C887" s="39"/>
      <c r="D887" s="39"/>
      <c r="E887" s="39"/>
      <c r="F887" s="39"/>
      <c r="G887" s="65"/>
      <c r="H887" s="39"/>
      <c r="I887" s="39"/>
    </row>
    <row r="888">
      <c r="A888" s="64"/>
      <c r="B888" s="20"/>
      <c r="C888" s="39"/>
      <c r="D888" s="39"/>
      <c r="E888" s="39"/>
      <c r="F888" s="39"/>
      <c r="G888" s="65"/>
      <c r="H888" s="39"/>
      <c r="I888" s="39"/>
    </row>
    <row r="889">
      <c r="A889" s="64"/>
      <c r="B889" s="20"/>
      <c r="C889" s="39"/>
      <c r="D889" s="39"/>
      <c r="E889" s="39"/>
      <c r="F889" s="39"/>
      <c r="G889" s="65"/>
      <c r="H889" s="39"/>
      <c r="I889" s="39"/>
    </row>
    <row r="890">
      <c r="A890" s="64"/>
      <c r="B890" s="20"/>
      <c r="C890" s="39"/>
      <c r="D890" s="39"/>
      <c r="E890" s="39"/>
      <c r="F890" s="39"/>
      <c r="G890" s="65"/>
      <c r="H890" s="39"/>
      <c r="I890" s="39"/>
    </row>
    <row r="891">
      <c r="A891" s="64"/>
      <c r="B891" s="20"/>
      <c r="C891" s="39"/>
      <c r="D891" s="39"/>
      <c r="E891" s="39"/>
      <c r="F891" s="39"/>
      <c r="G891" s="65"/>
      <c r="H891" s="39"/>
      <c r="I891" s="39"/>
    </row>
    <row r="892">
      <c r="A892" s="64"/>
      <c r="B892" s="20"/>
      <c r="C892" s="39"/>
      <c r="D892" s="39"/>
      <c r="E892" s="39"/>
      <c r="F892" s="39"/>
      <c r="G892" s="65"/>
      <c r="H892" s="39"/>
      <c r="I892" s="39"/>
    </row>
    <row r="893">
      <c r="A893" s="64"/>
      <c r="B893" s="20"/>
      <c r="C893" s="39"/>
      <c r="D893" s="39"/>
      <c r="E893" s="39"/>
      <c r="F893" s="39"/>
      <c r="G893" s="65"/>
      <c r="H893" s="39"/>
      <c r="I893" s="39"/>
    </row>
    <row r="894">
      <c r="A894" s="64"/>
      <c r="B894" s="20"/>
      <c r="C894" s="39"/>
      <c r="D894" s="39"/>
      <c r="E894" s="39"/>
      <c r="F894" s="39"/>
      <c r="G894" s="65"/>
      <c r="H894" s="39"/>
      <c r="I894" s="39"/>
    </row>
    <row r="895">
      <c r="A895" s="64"/>
      <c r="B895" s="20"/>
      <c r="C895" s="39"/>
      <c r="D895" s="39"/>
      <c r="E895" s="39"/>
      <c r="F895" s="39"/>
      <c r="G895" s="65"/>
      <c r="H895" s="39"/>
      <c r="I895" s="39"/>
    </row>
    <row r="896">
      <c r="A896" s="64"/>
      <c r="B896" s="20"/>
      <c r="C896" s="39"/>
      <c r="D896" s="39"/>
      <c r="E896" s="39"/>
      <c r="F896" s="39"/>
      <c r="G896" s="65"/>
      <c r="H896" s="39"/>
      <c r="I896" s="39"/>
    </row>
    <row r="897">
      <c r="A897" s="64"/>
      <c r="B897" s="20"/>
      <c r="C897" s="39"/>
      <c r="D897" s="39"/>
      <c r="E897" s="39"/>
      <c r="F897" s="39"/>
      <c r="G897" s="65"/>
      <c r="H897" s="39"/>
      <c r="I897" s="39"/>
    </row>
    <row r="898">
      <c r="A898" s="64"/>
      <c r="B898" s="20"/>
      <c r="C898" s="39"/>
      <c r="D898" s="39"/>
      <c r="E898" s="39"/>
      <c r="F898" s="39"/>
      <c r="G898" s="65"/>
      <c r="H898" s="39"/>
      <c r="I898" s="39"/>
    </row>
    <row r="899">
      <c r="A899" s="64"/>
      <c r="B899" s="20"/>
      <c r="C899" s="39"/>
      <c r="D899" s="39"/>
      <c r="E899" s="39"/>
      <c r="F899" s="39"/>
      <c r="G899" s="65"/>
      <c r="H899" s="39"/>
      <c r="I899" s="39"/>
    </row>
    <row r="900">
      <c r="A900" s="64"/>
      <c r="B900" s="20"/>
      <c r="C900" s="39"/>
      <c r="D900" s="39"/>
      <c r="E900" s="39"/>
      <c r="F900" s="39"/>
      <c r="G900" s="65"/>
      <c r="H900" s="39"/>
      <c r="I900" s="39"/>
    </row>
    <row r="901">
      <c r="A901" s="64"/>
      <c r="B901" s="20"/>
      <c r="C901" s="39"/>
      <c r="D901" s="39"/>
      <c r="E901" s="39"/>
      <c r="F901" s="39"/>
      <c r="G901" s="65"/>
      <c r="H901" s="39"/>
      <c r="I901" s="39"/>
    </row>
    <row r="902">
      <c r="A902" s="64"/>
      <c r="B902" s="20"/>
      <c r="C902" s="39"/>
      <c r="D902" s="39"/>
      <c r="E902" s="39"/>
      <c r="F902" s="39"/>
      <c r="G902" s="65"/>
      <c r="H902" s="39"/>
      <c r="I902" s="39"/>
    </row>
    <row r="903">
      <c r="A903" s="64"/>
      <c r="B903" s="20"/>
      <c r="C903" s="39"/>
      <c r="D903" s="39"/>
      <c r="E903" s="39"/>
      <c r="F903" s="39"/>
      <c r="G903" s="65"/>
      <c r="H903" s="39"/>
      <c r="I903" s="39"/>
    </row>
    <row r="904">
      <c r="A904" s="64"/>
      <c r="B904" s="20"/>
      <c r="C904" s="39"/>
      <c r="D904" s="39"/>
      <c r="E904" s="39"/>
      <c r="F904" s="39"/>
      <c r="G904" s="65"/>
      <c r="H904" s="39"/>
      <c r="I904" s="39"/>
    </row>
    <row r="905">
      <c r="A905" s="64"/>
      <c r="B905" s="20"/>
      <c r="C905" s="39"/>
      <c r="D905" s="39"/>
      <c r="E905" s="39"/>
      <c r="F905" s="39"/>
      <c r="G905" s="65"/>
      <c r="H905" s="39"/>
      <c r="I905" s="39"/>
    </row>
    <row r="906">
      <c r="A906" s="64"/>
      <c r="B906" s="20"/>
      <c r="C906" s="39"/>
      <c r="D906" s="39"/>
      <c r="E906" s="39"/>
      <c r="F906" s="39"/>
      <c r="G906" s="65"/>
      <c r="H906" s="39"/>
      <c r="I906" s="39"/>
    </row>
    <row r="907">
      <c r="A907" s="64"/>
      <c r="B907" s="20"/>
      <c r="C907" s="39"/>
      <c r="D907" s="39"/>
      <c r="E907" s="39"/>
      <c r="F907" s="39"/>
      <c r="G907" s="65"/>
      <c r="H907" s="39"/>
      <c r="I907" s="39"/>
    </row>
    <row r="908">
      <c r="A908" s="64"/>
      <c r="B908" s="20"/>
      <c r="C908" s="39"/>
      <c r="D908" s="39"/>
      <c r="E908" s="39"/>
      <c r="F908" s="39"/>
      <c r="G908" s="65"/>
      <c r="H908" s="39"/>
      <c r="I908" s="39"/>
    </row>
    <row r="909">
      <c r="A909" s="64"/>
      <c r="B909" s="20"/>
      <c r="C909" s="39"/>
      <c r="D909" s="39"/>
      <c r="E909" s="39"/>
      <c r="F909" s="39"/>
      <c r="G909" s="65"/>
      <c r="H909" s="39"/>
      <c r="I909" s="39"/>
    </row>
    <row r="910">
      <c r="A910" s="64"/>
      <c r="B910" s="20"/>
      <c r="C910" s="39"/>
      <c r="D910" s="39"/>
      <c r="E910" s="39"/>
      <c r="F910" s="39"/>
      <c r="G910" s="65"/>
      <c r="H910" s="39"/>
      <c r="I910" s="39"/>
    </row>
    <row r="911">
      <c r="A911" s="64"/>
      <c r="B911" s="20"/>
      <c r="C911" s="39"/>
      <c r="D911" s="39"/>
      <c r="E911" s="39"/>
      <c r="F911" s="39"/>
      <c r="G911" s="65"/>
      <c r="H911" s="39"/>
      <c r="I911" s="39"/>
    </row>
    <row r="912">
      <c r="A912" s="64"/>
      <c r="B912" s="20"/>
      <c r="C912" s="39"/>
      <c r="D912" s="39"/>
      <c r="E912" s="39"/>
      <c r="F912" s="39"/>
      <c r="G912" s="65"/>
      <c r="H912" s="39"/>
      <c r="I912" s="39"/>
    </row>
    <row r="913">
      <c r="A913" s="64"/>
      <c r="B913" s="20"/>
      <c r="C913" s="39"/>
      <c r="D913" s="39"/>
      <c r="E913" s="39"/>
      <c r="F913" s="39"/>
      <c r="G913" s="65"/>
      <c r="H913" s="39"/>
      <c r="I913" s="39"/>
    </row>
    <row r="914">
      <c r="A914" s="64"/>
      <c r="B914" s="20"/>
      <c r="C914" s="39"/>
      <c r="D914" s="39"/>
      <c r="E914" s="39"/>
      <c r="F914" s="39"/>
      <c r="G914" s="65"/>
      <c r="H914" s="39"/>
      <c r="I914" s="39"/>
    </row>
    <row r="915">
      <c r="A915" s="64"/>
      <c r="B915" s="20"/>
      <c r="C915" s="39"/>
      <c r="D915" s="39"/>
      <c r="E915" s="39"/>
      <c r="F915" s="39"/>
      <c r="G915" s="65"/>
      <c r="H915" s="39"/>
      <c r="I915" s="39"/>
    </row>
    <row r="916">
      <c r="A916" s="64"/>
      <c r="B916" s="20"/>
      <c r="C916" s="39"/>
      <c r="D916" s="39"/>
      <c r="E916" s="39"/>
      <c r="F916" s="39"/>
      <c r="G916" s="65"/>
      <c r="H916" s="39"/>
      <c r="I916" s="39"/>
    </row>
    <row r="917">
      <c r="A917" s="64"/>
      <c r="B917" s="20"/>
      <c r="C917" s="39"/>
      <c r="D917" s="39"/>
      <c r="E917" s="39"/>
      <c r="F917" s="39"/>
      <c r="G917" s="65"/>
      <c r="H917" s="39"/>
      <c r="I917" s="39"/>
    </row>
    <row r="918">
      <c r="A918" s="64"/>
      <c r="B918" s="20"/>
      <c r="C918" s="39"/>
      <c r="D918" s="39"/>
      <c r="E918" s="39"/>
      <c r="F918" s="39"/>
      <c r="G918" s="65"/>
      <c r="H918" s="39"/>
      <c r="I918" s="39"/>
    </row>
    <row r="919">
      <c r="A919" s="64"/>
      <c r="B919" s="20"/>
      <c r="C919" s="39"/>
      <c r="D919" s="39"/>
      <c r="E919" s="39"/>
      <c r="F919" s="39"/>
      <c r="G919" s="65"/>
      <c r="H919" s="39"/>
      <c r="I919" s="39"/>
    </row>
    <row r="920">
      <c r="A920" s="64"/>
      <c r="B920" s="20"/>
      <c r="C920" s="39"/>
      <c r="D920" s="39"/>
      <c r="E920" s="39"/>
      <c r="F920" s="39"/>
      <c r="G920" s="65"/>
      <c r="H920" s="39"/>
      <c r="I920" s="39"/>
    </row>
    <row r="921">
      <c r="A921" s="64"/>
      <c r="B921" s="20"/>
      <c r="C921" s="39"/>
      <c r="D921" s="39"/>
      <c r="E921" s="39"/>
      <c r="F921" s="39"/>
      <c r="G921" s="65"/>
      <c r="H921" s="39"/>
      <c r="I921" s="39"/>
    </row>
    <row r="922">
      <c r="A922" s="64"/>
      <c r="B922" s="20"/>
      <c r="C922" s="39"/>
      <c r="D922" s="39"/>
      <c r="E922" s="39"/>
      <c r="F922" s="39"/>
      <c r="G922" s="65"/>
      <c r="H922" s="39"/>
      <c r="I922" s="39"/>
    </row>
    <row r="923">
      <c r="A923" s="64"/>
      <c r="B923" s="20"/>
      <c r="C923" s="39"/>
      <c r="D923" s="39"/>
      <c r="E923" s="39"/>
      <c r="F923" s="39"/>
      <c r="G923" s="65"/>
      <c r="H923" s="39"/>
      <c r="I923" s="39"/>
    </row>
    <row r="924">
      <c r="A924" s="64"/>
      <c r="B924" s="20"/>
      <c r="C924" s="39"/>
      <c r="D924" s="39"/>
      <c r="E924" s="39"/>
      <c r="F924" s="39"/>
      <c r="G924" s="65"/>
      <c r="H924" s="39"/>
      <c r="I924" s="39"/>
    </row>
    <row r="925">
      <c r="A925" s="64"/>
      <c r="B925" s="20"/>
      <c r="C925" s="39"/>
      <c r="D925" s="39"/>
      <c r="E925" s="39"/>
      <c r="F925" s="39"/>
      <c r="G925" s="65"/>
      <c r="H925" s="39"/>
      <c r="I925" s="39"/>
    </row>
    <row r="926">
      <c r="A926" s="64"/>
      <c r="B926" s="20"/>
      <c r="C926" s="39"/>
      <c r="D926" s="39"/>
      <c r="E926" s="39"/>
      <c r="F926" s="39"/>
      <c r="G926" s="65"/>
      <c r="H926" s="39"/>
      <c r="I926" s="39"/>
    </row>
    <row r="927">
      <c r="A927" s="64"/>
      <c r="B927" s="20"/>
      <c r="C927" s="39"/>
      <c r="D927" s="39"/>
      <c r="E927" s="39"/>
      <c r="F927" s="39"/>
      <c r="G927" s="65"/>
      <c r="H927" s="39"/>
      <c r="I927" s="39"/>
    </row>
    <row r="928">
      <c r="A928" s="64"/>
      <c r="B928" s="20"/>
      <c r="C928" s="39"/>
      <c r="D928" s="39"/>
      <c r="E928" s="39"/>
      <c r="F928" s="39"/>
      <c r="G928" s="65"/>
      <c r="H928" s="39"/>
      <c r="I928" s="39"/>
    </row>
    <row r="929">
      <c r="A929" s="64"/>
      <c r="B929" s="20"/>
      <c r="C929" s="39"/>
      <c r="D929" s="39"/>
      <c r="E929" s="39"/>
      <c r="F929" s="39"/>
      <c r="G929" s="65"/>
      <c r="H929" s="39"/>
      <c r="I929" s="39"/>
    </row>
    <row r="930">
      <c r="A930" s="64"/>
      <c r="B930" s="20"/>
      <c r="C930" s="39"/>
      <c r="D930" s="39"/>
      <c r="E930" s="39"/>
      <c r="F930" s="39"/>
      <c r="G930" s="65"/>
      <c r="H930" s="39"/>
      <c r="I930" s="39"/>
    </row>
    <row r="931">
      <c r="A931" s="64"/>
      <c r="B931" s="20"/>
      <c r="C931" s="39"/>
      <c r="D931" s="39"/>
      <c r="E931" s="39"/>
      <c r="F931" s="39"/>
      <c r="G931" s="65"/>
      <c r="H931" s="39"/>
      <c r="I931" s="39"/>
    </row>
    <row r="932">
      <c r="A932" s="64"/>
      <c r="B932" s="20"/>
      <c r="C932" s="39"/>
      <c r="D932" s="39"/>
      <c r="E932" s="39"/>
      <c r="F932" s="39"/>
      <c r="G932" s="65"/>
      <c r="H932" s="39"/>
      <c r="I932" s="39"/>
    </row>
    <row r="933">
      <c r="A933" s="64"/>
      <c r="B933" s="20"/>
      <c r="C933" s="39"/>
      <c r="D933" s="39"/>
      <c r="E933" s="39"/>
      <c r="F933" s="39"/>
      <c r="G933" s="65"/>
      <c r="H933" s="39"/>
      <c r="I933" s="39"/>
    </row>
    <row r="934">
      <c r="A934" s="64"/>
      <c r="B934" s="20"/>
      <c r="C934" s="39"/>
      <c r="D934" s="39"/>
      <c r="E934" s="39"/>
      <c r="F934" s="39"/>
      <c r="G934" s="65"/>
      <c r="H934" s="39"/>
      <c r="I934" s="39"/>
    </row>
    <row r="935">
      <c r="A935" s="64"/>
      <c r="B935" s="20"/>
      <c r="C935" s="39"/>
      <c r="D935" s="39"/>
      <c r="E935" s="39"/>
      <c r="F935" s="39"/>
      <c r="G935" s="65"/>
      <c r="H935" s="39"/>
      <c r="I935" s="39"/>
    </row>
    <row r="936">
      <c r="A936" s="64"/>
      <c r="B936" s="20"/>
      <c r="C936" s="39"/>
      <c r="D936" s="39"/>
      <c r="E936" s="39"/>
      <c r="F936" s="39"/>
      <c r="G936" s="65"/>
      <c r="H936" s="39"/>
      <c r="I936" s="39"/>
    </row>
    <row r="937">
      <c r="A937" s="64"/>
      <c r="B937" s="20"/>
      <c r="C937" s="39"/>
      <c r="D937" s="39"/>
      <c r="E937" s="39"/>
      <c r="F937" s="39"/>
      <c r="G937" s="65"/>
      <c r="H937" s="39"/>
      <c r="I937" s="39"/>
    </row>
    <row r="938">
      <c r="A938" s="64"/>
      <c r="B938" s="20"/>
      <c r="C938" s="39"/>
      <c r="D938" s="39"/>
      <c r="E938" s="39"/>
      <c r="F938" s="39"/>
      <c r="G938" s="65"/>
      <c r="H938" s="39"/>
      <c r="I938" s="39"/>
    </row>
    <row r="939">
      <c r="A939" s="64"/>
      <c r="B939" s="20"/>
      <c r="C939" s="39"/>
      <c r="D939" s="39"/>
      <c r="E939" s="39"/>
      <c r="F939" s="39"/>
      <c r="G939" s="65"/>
      <c r="H939" s="39"/>
      <c r="I939" s="39"/>
    </row>
    <row r="940">
      <c r="A940" s="64"/>
      <c r="B940" s="20"/>
      <c r="C940" s="39"/>
      <c r="D940" s="39"/>
      <c r="E940" s="39"/>
      <c r="F940" s="39"/>
      <c r="G940" s="65"/>
      <c r="H940" s="39"/>
      <c r="I940" s="39"/>
    </row>
    <row r="941">
      <c r="A941" s="64"/>
      <c r="B941" s="20"/>
      <c r="C941" s="39"/>
      <c r="D941" s="39"/>
      <c r="E941" s="39"/>
      <c r="F941" s="39"/>
      <c r="G941" s="65"/>
      <c r="H941" s="39"/>
      <c r="I941" s="39"/>
    </row>
    <row r="942">
      <c r="A942" s="64"/>
      <c r="B942" s="20"/>
      <c r="C942" s="39"/>
      <c r="D942" s="39"/>
      <c r="E942" s="39"/>
      <c r="F942" s="39"/>
      <c r="G942" s="65"/>
      <c r="H942" s="39"/>
      <c r="I942" s="39"/>
    </row>
    <row r="943">
      <c r="A943" s="64"/>
      <c r="B943" s="20"/>
      <c r="C943" s="39"/>
      <c r="D943" s="39"/>
      <c r="E943" s="39"/>
      <c r="F943" s="39"/>
      <c r="G943" s="65"/>
      <c r="H943" s="39"/>
      <c r="I943" s="39"/>
    </row>
    <row r="944">
      <c r="A944" s="64"/>
      <c r="B944" s="20"/>
      <c r="C944" s="39"/>
      <c r="D944" s="39"/>
      <c r="E944" s="39"/>
      <c r="F944" s="39"/>
      <c r="G944" s="65"/>
      <c r="H944" s="39"/>
      <c r="I944" s="39"/>
    </row>
    <row r="945">
      <c r="A945" s="64"/>
      <c r="B945" s="20"/>
      <c r="C945" s="39"/>
      <c r="D945" s="39"/>
      <c r="E945" s="39"/>
      <c r="F945" s="39"/>
      <c r="G945" s="65"/>
      <c r="H945" s="39"/>
      <c r="I945" s="39"/>
    </row>
    <row r="946">
      <c r="A946" s="64"/>
      <c r="B946" s="20"/>
      <c r="C946" s="39"/>
      <c r="D946" s="39"/>
      <c r="E946" s="39"/>
      <c r="F946" s="39"/>
      <c r="G946" s="65"/>
      <c r="H946" s="39"/>
      <c r="I946" s="39"/>
    </row>
    <row r="947">
      <c r="A947" s="64"/>
      <c r="B947" s="20"/>
      <c r="C947" s="39"/>
      <c r="D947" s="39"/>
      <c r="E947" s="39"/>
      <c r="F947" s="39"/>
      <c r="G947" s="65"/>
      <c r="H947" s="39"/>
      <c r="I947" s="39"/>
    </row>
    <row r="948">
      <c r="A948" s="64"/>
      <c r="B948" s="20"/>
      <c r="C948" s="39"/>
      <c r="D948" s="39"/>
      <c r="E948" s="39"/>
      <c r="F948" s="39"/>
      <c r="G948" s="65"/>
      <c r="H948" s="39"/>
      <c r="I948" s="39"/>
    </row>
    <row r="949">
      <c r="A949" s="64"/>
      <c r="B949" s="20"/>
      <c r="C949" s="39"/>
      <c r="D949" s="39"/>
      <c r="E949" s="39"/>
      <c r="F949" s="39"/>
      <c r="G949" s="65"/>
      <c r="H949" s="39"/>
      <c r="I949" s="39"/>
    </row>
    <row r="950">
      <c r="A950" s="64"/>
      <c r="B950" s="20"/>
      <c r="C950" s="39"/>
      <c r="D950" s="39"/>
      <c r="E950" s="39"/>
      <c r="F950" s="39"/>
      <c r="G950" s="65"/>
      <c r="H950" s="39"/>
      <c r="I950" s="39"/>
    </row>
    <row r="951">
      <c r="A951" s="64"/>
      <c r="B951" s="20"/>
      <c r="C951" s="39"/>
      <c r="D951" s="39"/>
      <c r="E951" s="39"/>
      <c r="F951" s="39"/>
      <c r="G951" s="65"/>
      <c r="H951" s="39"/>
      <c r="I951" s="39"/>
    </row>
    <row r="952">
      <c r="A952" s="64"/>
      <c r="B952" s="20"/>
      <c r="C952" s="39"/>
      <c r="D952" s="39"/>
      <c r="E952" s="39"/>
      <c r="F952" s="39"/>
      <c r="G952" s="65"/>
      <c r="H952" s="39"/>
      <c r="I952" s="39"/>
    </row>
    <row r="953">
      <c r="A953" s="64"/>
      <c r="B953" s="20"/>
      <c r="C953" s="39"/>
      <c r="D953" s="39"/>
      <c r="E953" s="39"/>
      <c r="F953" s="39"/>
      <c r="G953" s="65"/>
      <c r="H953" s="39"/>
      <c r="I953" s="39"/>
    </row>
    <row r="954">
      <c r="A954" s="64"/>
      <c r="B954" s="20"/>
      <c r="C954" s="39"/>
      <c r="D954" s="39"/>
      <c r="E954" s="39"/>
      <c r="F954" s="39"/>
      <c r="G954" s="65"/>
      <c r="H954" s="39"/>
      <c r="I954" s="39"/>
    </row>
    <row r="955">
      <c r="A955" s="64"/>
      <c r="B955" s="20"/>
      <c r="C955" s="39"/>
      <c r="D955" s="39"/>
      <c r="E955" s="39"/>
      <c r="F955" s="39"/>
      <c r="G955" s="65"/>
      <c r="H955" s="39"/>
      <c r="I955" s="39"/>
    </row>
    <row r="956">
      <c r="A956" s="64"/>
      <c r="B956" s="20"/>
      <c r="C956" s="39"/>
      <c r="D956" s="39"/>
      <c r="E956" s="39"/>
      <c r="F956" s="39"/>
      <c r="G956" s="65"/>
      <c r="H956" s="39"/>
      <c r="I956" s="39"/>
    </row>
    <row r="957">
      <c r="A957" s="64"/>
      <c r="B957" s="20"/>
      <c r="C957" s="39"/>
      <c r="D957" s="39"/>
      <c r="E957" s="39"/>
      <c r="F957" s="39"/>
      <c r="G957" s="65"/>
      <c r="H957" s="39"/>
      <c r="I957" s="39"/>
    </row>
    <row r="958">
      <c r="A958" s="64"/>
      <c r="B958" s="20"/>
      <c r="C958" s="39"/>
      <c r="D958" s="39"/>
      <c r="E958" s="39"/>
      <c r="F958" s="39"/>
      <c r="G958" s="65"/>
      <c r="H958" s="39"/>
      <c r="I958" s="39"/>
    </row>
    <row r="959">
      <c r="A959" s="64"/>
      <c r="B959" s="20"/>
      <c r="C959" s="39"/>
      <c r="D959" s="39"/>
      <c r="E959" s="39"/>
      <c r="F959" s="39"/>
      <c r="G959" s="65"/>
      <c r="H959" s="39"/>
      <c r="I959" s="39"/>
    </row>
    <row r="960">
      <c r="A960" s="64"/>
      <c r="B960" s="20"/>
      <c r="C960" s="39"/>
      <c r="D960" s="39"/>
      <c r="E960" s="39"/>
      <c r="F960" s="39"/>
      <c r="G960" s="65"/>
      <c r="H960" s="39"/>
      <c r="I960" s="39"/>
    </row>
    <row r="961">
      <c r="A961" s="64"/>
      <c r="B961" s="20"/>
      <c r="C961" s="39"/>
      <c r="D961" s="39"/>
      <c r="E961" s="39"/>
      <c r="F961" s="39"/>
      <c r="G961" s="65"/>
      <c r="H961" s="39"/>
      <c r="I961" s="39"/>
    </row>
    <row r="962">
      <c r="A962" s="64"/>
      <c r="B962" s="20"/>
      <c r="C962" s="39"/>
      <c r="D962" s="39"/>
      <c r="E962" s="39"/>
      <c r="F962" s="39"/>
      <c r="G962" s="65"/>
      <c r="H962" s="39"/>
      <c r="I962" s="39"/>
    </row>
    <row r="963">
      <c r="A963" s="64"/>
      <c r="B963" s="20"/>
      <c r="C963" s="39"/>
      <c r="D963" s="39"/>
      <c r="E963" s="39"/>
      <c r="F963" s="39"/>
      <c r="G963" s="65"/>
      <c r="H963" s="39"/>
      <c r="I963" s="39"/>
    </row>
    <row r="964">
      <c r="A964" s="64"/>
      <c r="B964" s="20"/>
      <c r="C964" s="39"/>
      <c r="D964" s="39"/>
      <c r="E964" s="39"/>
      <c r="F964" s="39"/>
      <c r="G964" s="65"/>
      <c r="H964" s="39"/>
      <c r="I964" s="39"/>
    </row>
    <row r="965">
      <c r="A965" s="64"/>
      <c r="B965" s="20"/>
      <c r="C965" s="39"/>
      <c r="D965" s="39"/>
      <c r="E965" s="39"/>
      <c r="F965" s="39"/>
      <c r="G965" s="65"/>
      <c r="H965" s="39"/>
      <c r="I965" s="39"/>
    </row>
    <row r="966">
      <c r="A966" s="64"/>
      <c r="B966" s="20"/>
      <c r="C966" s="39"/>
      <c r="D966" s="39"/>
      <c r="E966" s="39"/>
      <c r="F966" s="39"/>
      <c r="G966" s="65"/>
      <c r="H966" s="39"/>
      <c r="I966" s="39"/>
    </row>
    <row r="967">
      <c r="A967" s="64"/>
      <c r="B967" s="20"/>
      <c r="C967" s="39"/>
      <c r="D967" s="39"/>
      <c r="E967" s="39"/>
      <c r="F967" s="39"/>
      <c r="G967" s="65"/>
      <c r="H967" s="39"/>
      <c r="I967" s="39"/>
    </row>
    <row r="968">
      <c r="A968" s="64"/>
      <c r="B968" s="20"/>
      <c r="C968" s="39"/>
      <c r="D968" s="39"/>
      <c r="E968" s="39"/>
      <c r="F968" s="39"/>
      <c r="G968" s="65"/>
      <c r="H968" s="39"/>
      <c r="I968" s="39"/>
    </row>
    <row r="969">
      <c r="A969" s="64"/>
      <c r="B969" s="20"/>
      <c r="C969" s="39"/>
      <c r="D969" s="39"/>
      <c r="E969" s="39"/>
      <c r="F969" s="39"/>
      <c r="G969" s="65"/>
      <c r="H969" s="39"/>
      <c r="I969" s="39"/>
    </row>
    <row r="970">
      <c r="A970" s="64"/>
      <c r="B970" s="20"/>
      <c r="C970" s="39"/>
      <c r="D970" s="39"/>
      <c r="E970" s="39"/>
      <c r="F970" s="39"/>
      <c r="G970" s="65"/>
      <c r="H970" s="39"/>
      <c r="I970" s="39"/>
    </row>
    <row r="971">
      <c r="A971" s="64"/>
      <c r="B971" s="20"/>
      <c r="C971" s="39"/>
      <c r="D971" s="39"/>
      <c r="E971" s="39"/>
      <c r="F971" s="39"/>
      <c r="G971" s="65"/>
      <c r="H971" s="39"/>
      <c r="I971" s="39"/>
    </row>
    <row r="972">
      <c r="A972" s="64"/>
      <c r="B972" s="20"/>
      <c r="C972" s="39"/>
      <c r="D972" s="39"/>
      <c r="E972" s="39"/>
      <c r="F972" s="39"/>
      <c r="G972" s="65"/>
      <c r="H972" s="39"/>
      <c r="I972" s="39"/>
    </row>
    <row r="973">
      <c r="A973" s="64"/>
      <c r="B973" s="20"/>
      <c r="C973" s="39"/>
      <c r="D973" s="39"/>
      <c r="E973" s="39"/>
      <c r="F973" s="39"/>
      <c r="G973" s="65"/>
      <c r="H973" s="39"/>
      <c r="I973" s="39"/>
    </row>
    <row r="974">
      <c r="A974" s="64"/>
      <c r="B974" s="20"/>
      <c r="C974" s="39"/>
      <c r="D974" s="39"/>
      <c r="E974" s="39"/>
      <c r="F974" s="39"/>
      <c r="G974" s="65"/>
      <c r="H974" s="39"/>
      <c r="I974" s="39"/>
    </row>
    <row r="975">
      <c r="A975" s="64"/>
      <c r="B975" s="20"/>
      <c r="C975" s="39"/>
      <c r="D975" s="39"/>
      <c r="E975" s="39"/>
      <c r="F975" s="39"/>
      <c r="G975" s="65"/>
      <c r="H975" s="39"/>
      <c r="I975" s="39"/>
    </row>
    <row r="976">
      <c r="A976" s="64"/>
      <c r="B976" s="20"/>
      <c r="C976" s="39"/>
      <c r="D976" s="39"/>
      <c r="E976" s="39"/>
      <c r="F976" s="39"/>
      <c r="G976" s="65"/>
      <c r="H976" s="39"/>
      <c r="I976" s="39"/>
    </row>
    <row r="977">
      <c r="A977" s="64"/>
      <c r="B977" s="20"/>
      <c r="C977" s="39"/>
      <c r="D977" s="39"/>
      <c r="E977" s="39"/>
      <c r="F977" s="39"/>
      <c r="G977" s="65"/>
      <c r="H977" s="39"/>
      <c r="I977" s="39"/>
    </row>
    <row r="978">
      <c r="A978" s="64"/>
      <c r="B978" s="20"/>
      <c r="C978" s="39"/>
      <c r="D978" s="39"/>
      <c r="E978" s="39"/>
      <c r="F978" s="39"/>
      <c r="G978" s="65"/>
      <c r="H978" s="39"/>
      <c r="I978" s="39"/>
    </row>
    <row r="979">
      <c r="A979" s="64"/>
      <c r="B979" s="20"/>
      <c r="C979" s="39"/>
      <c r="D979" s="39"/>
      <c r="E979" s="39"/>
      <c r="F979" s="39"/>
      <c r="G979" s="65"/>
      <c r="H979" s="39"/>
      <c r="I979" s="39"/>
    </row>
    <row r="980">
      <c r="A980" s="64"/>
      <c r="B980" s="20"/>
      <c r="C980" s="39"/>
      <c r="D980" s="39"/>
      <c r="E980" s="39"/>
      <c r="F980" s="39"/>
      <c r="G980" s="65"/>
      <c r="H980" s="39"/>
      <c r="I980" s="39"/>
    </row>
    <row r="981">
      <c r="A981" s="64"/>
      <c r="B981" s="20"/>
      <c r="C981" s="39"/>
      <c r="D981" s="39"/>
      <c r="E981" s="39"/>
      <c r="F981" s="39"/>
      <c r="G981" s="65"/>
      <c r="H981" s="39"/>
      <c r="I981" s="39"/>
    </row>
    <row r="982">
      <c r="A982" s="64"/>
      <c r="B982" s="20"/>
      <c r="C982" s="39"/>
      <c r="D982" s="39"/>
      <c r="E982" s="39"/>
      <c r="F982" s="39"/>
      <c r="G982" s="65"/>
      <c r="H982" s="39"/>
      <c r="I982" s="39"/>
    </row>
    <row r="983">
      <c r="A983" s="64"/>
      <c r="B983" s="20"/>
      <c r="C983" s="39"/>
      <c r="D983" s="39"/>
      <c r="E983" s="39"/>
      <c r="F983" s="39"/>
      <c r="G983" s="65"/>
      <c r="H983" s="39"/>
      <c r="I983" s="39"/>
    </row>
    <row r="984">
      <c r="A984" s="64"/>
      <c r="B984" s="20"/>
      <c r="C984" s="39"/>
      <c r="D984" s="39"/>
      <c r="E984" s="39"/>
      <c r="F984" s="39"/>
      <c r="G984" s="65"/>
      <c r="H984" s="39"/>
      <c r="I984" s="39"/>
    </row>
    <row r="985">
      <c r="A985" s="64"/>
      <c r="B985" s="20"/>
      <c r="C985" s="39"/>
      <c r="D985" s="39"/>
      <c r="E985" s="39"/>
      <c r="F985" s="39"/>
      <c r="G985" s="65"/>
      <c r="H985" s="39"/>
      <c r="I985" s="39"/>
    </row>
    <row r="986">
      <c r="A986" s="64"/>
      <c r="B986" s="20"/>
      <c r="C986" s="39"/>
      <c r="D986" s="39"/>
      <c r="E986" s="39"/>
      <c r="F986" s="39"/>
      <c r="G986" s="65"/>
      <c r="H986" s="39"/>
      <c r="I986" s="39"/>
    </row>
    <row r="987">
      <c r="A987" s="64"/>
      <c r="B987" s="20"/>
      <c r="C987" s="39"/>
      <c r="D987" s="39"/>
      <c r="E987" s="39"/>
      <c r="F987" s="39"/>
      <c r="G987" s="65"/>
      <c r="H987" s="39"/>
      <c r="I987" s="39"/>
    </row>
    <row r="988">
      <c r="A988" s="64"/>
      <c r="B988" s="20"/>
      <c r="C988" s="39"/>
      <c r="D988" s="39"/>
      <c r="E988" s="39"/>
      <c r="F988" s="39"/>
      <c r="G988" s="65"/>
      <c r="H988" s="39"/>
      <c r="I988" s="39"/>
    </row>
    <row r="989">
      <c r="A989" s="64"/>
      <c r="B989" s="20"/>
      <c r="C989" s="39"/>
      <c r="D989" s="39"/>
      <c r="E989" s="39"/>
      <c r="F989" s="39"/>
      <c r="G989" s="65"/>
      <c r="H989" s="39"/>
      <c r="I989" s="39"/>
    </row>
    <row r="990">
      <c r="A990" s="64"/>
      <c r="B990" s="20"/>
      <c r="C990" s="39"/>
      <c r="D990" s="39"/>
      <c r="E990" s="39"/>
      <c r="F990" s="39"/>
      <c r="G990" s="65"/>
      <c r="H990" s="39"/>
      <c r="I990" s="39"/>
    </row>
    <row r="991">
      <c r="A991" s="64"/>
      <c r="B991" s="20"/>
      <c r="C991" s="39"/>
      <c r="D991" s="39"/>
      <c r="E991" s="39"/>
      <c r="F991" s="39"/>
      <c r="G991" s="65"/>
      <c r="H991" s="39"/>
      <c r="I991" s="39"/>
    </row>
    <row r="992">
      <c r="A992" s="64"/>
      <c r="B992" s="20"/>
      <c r="C992" s="39"/>
      <c r="D992" s="39"/>
      <c r="E992" s="39"/>
      <c r="F992" s="39"/>
      <c r="G992" s="65"/>
      <c r="H992" s="39"/>
      <c r="I992" s="39"/>
    </row>
    <row r="993">
      <c r="A993" s="64"/>
      <c r="B993" s="20"/>
      <c r="C993" s="39"/>
      <c r="D993" s="39"/>
      <c r="E993" s="39"/>
      <c r="F993" s="39"/>
      <c r="G993" s="65"/>
      <c r="H993" s="39"/>
      <c r="I993" s="39"/>
    </row>
    <row r="994">
      <c r="A994" s="64"/>
      <c r="B994" s="20"/>
      <c r="C994" s="39"/>
      <c r="D994" s="39"/>
      <c r="E994" s="39"/>
      <c r="F994" s="39"/>
      <c r="G994" s="65"/>
      <c r="H994" s="39"/>
      <c r="I994" s="39"/>
    </row>
    <row r="995">
      <c r="A995" s="64"/>
      <c r="B995" s="20"/>
      <c r="C995" s="39"/>
      <c r="D995" s="39"/>
      <c r="E995" s="39"/>
      <c r="F995" s="39"/>
      <c r="G995" s="65"/>
      <c r="H995" s="39"/>
      <c r="I995" s="39"/>
    </row>
    <row r="996">
      <c r="A996" s="64"/>
      <c r="B996" s="20"/>
      <c r="C996" s="39"/>
      <c r="D996" s="39"/>
      <c r="E996" s="39"/>
      <c r="F996" s="39"/>
      <c r="G996" s="65"/>
      <c r="H996" s="39"/>
      <c r="I996" s="3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0"/>
    <col customWidth="1" min="4" max="4" width="78.5"/>
  </cols>
  <sheetData>
    <row r="1">
      <c r="A1" s="5" t="s">
        <v>29</v>
      </c>
      <c r="B1" s="5" t="s">
        <v>322</v>
      </c>
      <c r="C1" s="5" t="s">
        <v>323</v>
      </c>
      <c r="D1" s="5" t="s">
        <v>226</v>
      </c>
      <c r="E1" s="5" t="s">
        <v>324</v>
      </c>
    </row>
    <row r="2">
      <c r="A2" s="23">
        <v>45888.846466504634</v>
      </c>
      <c r="B2" s="3" t="s">
        <v>325</v>
      </c>
      <c r="C2" s="3" t="s">
        <v>326</v>
      </c>
      <c r="D2" s="3" t="s">
        <v>327</v>
      </c>
      <c r="E2" s="3" t="s">
        <v>328</v>
      </c>
    </row>
    <row r="3">
      <c r="A3" s="23">
        <v>45888.84713608796</v>
      </c>
      <c r="B3" s="3" t="s">
        <v>325</v>
      </c>
      <c r="C3" s="3" t="s">
        <v>326</v>
      </c>
      <c r="D3" s="3" t="s">
        <v>327</v>
      </c>
      <c r="E3" s="3" t="s">
        <v>328</v>
      </c>
    </row>
    <row r="4">
      <c r="A4" s="23">
        <v>45888.84740287037</v>
      </c>
      <c r="B4" s="3" t="s">
        <v>325</v>
      </c>
      <c r="C4" s="3" t="s">
        <v>326</v>
      </c>
      <c r="D4" s="3" t="s">
        <v>327</v>
      </c>
      <c r="E4" s="3" t="s">
        <v>328</v>
      </c>
    </row>
    <row r="5">
      <c r="A5" s="23">
        <v>45888.84979086806</v>
      </c>
      <c r="B5" s="3" t="s">
        <v>329</v>
      </c>
      <c r="C5" s="66" t="str">
        <f>== Starting complete finance automation process ===</f>
        <v>#ERROR!</v>
      </c>
      <c r="D5" s="3" t="s">
        <v>115</v>
      </c>
      <c r="E5" s="3" t="s">
        <v>328</v>
      </c>
    </row>
    <row r="6">
      <c r="A6" s="23">
        <v>45888.849809120366</v>
      </c>
      <c r="B6" s="3" t="s">
        <v>325</v>
      </c>
      <c r="C6" s="3" t="s">
        <v>330</v>
      </c>
      <c r="D6" s="3" t="s">
        <v>327</v>
      </c>
      <c r="E6" s="3" t="s">
        <v>328</v>
      </c>
    </row>
    <row r="7">
      <c r="A7" s="23">
        <v>45888.85026421296</v>
      </c>
      <c r="B7" s="3" t="s">
        <v>329</v>
      </c>
      <c r="C7" s="66" t="str">
        <f>== Starting complete finance automation process ===</f>
        <v>#ERROR!</v>
      </c>
      <c r="D7" s="3" t="s">
        <v>115</v>
      </c>
      <c r="E7" s="3" t="s">
        <v>328</v>
      </c>
    </row>
    <row r="8">
      <c r="A8" s="23">
        <v>45888.8502778588</v>
      </c>
      <c r="B8" s="3" t="s">
        <v>325</v>
      </c>
      <c r="C8" s="3" t="s">
        <v>330</v>
      </c>
      <c r="D8" s="3" t="s">
        <v>327</v>
      </c>
      <c r="E8" s="3" t="s">
        <v>328</v>
      </c>
    </row>
    <row r="9">
      <c r="A9" s="23">
        <v>45888.85198078703</v>
      </c>
      <c r="B9" s="3" t="s">
        <v>329</v>
      </c>
      <c r="C9" s="3" t="s">
        <v>331</v>
      </c>
      <c r="D9" s="3" t="s">
        <v>115</v>
      </c>
      <c r="E9" s="3" t="s">
        <v>328</v>
      </c>
    </row>
    <row r="10">
      <c r="A10" s="23">
        <v>45888.85198840278</v>
      </c>
      <c r="B10" s="3" t="s">
        <v>325</v>
      </c>
      <c r="C10" s="3" t="s">
        <v>326</v>
      </c>
      <c r="D10" s="3" t="s">
        <v>327</v>
      </c>
      <c r="E10" s="3" t="s">
        <v>328</v>
      </c>
    </row>
    <row r="11">
      <c r="A11" s="23">
        <v>45888.85361664352</v>
      </c>
      <c r="B11" s="3" t="s">
        <v>329</v>
      </c>
      <c r="C11" s="3" t="s">
        <v>332</v>
      </c>
      <c r="D11" s="3" t="s">
        <v>115</v>
      </c>
      <c r="E11" s="3" t="s">
        <v>328</v>
      </c>
    </row>
    <row r="12">
      <c r="A12" s="23">
        <v>45888.85551341435</v>
      </c>
      <c r="B12" s="3" t="s">
        <v>329</v>
      </c>
      <c r="C12" s="3" t="s">
        <v>333</v>
      </c>
      <c r="D12" s="3" t="s">
        <v>334</v>
      </c>
      <c r="E12" s="3" t="s">
        <v>328</v>
      </c>
    </row>
    <row r="13">
      <c r="A13" s="23">
        <v>45888.85565025463</v>
      </c>
      <c r="B13" s="3" t="s">
        <v>325</v>
      </c>
      <c r="C13" s="3" t="s">
        <v>326</v>
      </c>
      <c r="D13" s="3" t="s">
        <v>327</v>
      </c>
      <c r="E13" s="3" t="s">
        <v>328</v>
      </c>
    </row>
    <row r="14">
      <c r="A14" s="23">
        <v>45888.856263229165</v>
      </c>
      <c r="B14" s="3" t="s">
        <v>325</v>
      </c>
      <c r="C14" s="3" t="s">
        <v>326</v>
      </c>
      <c r="D14" s="3" t="s">
        <v>327</v>
      </c>
      <c r="E14" s="3" t="s">
        <v>328</v>
      </c>
    </row>
    <row r="15">
      <c r="A15" s="23">
        <v>45888.86688798611</v>
      </c>
      <c r="B15" s="3" t="s">
        <v>329</v>
      </c>
      <c r="C15" s="3" t="s">
        <v>335</v>
      </c>
      <c r="D15" s="3" t="s">
        <v>115</v>
      </c>
      <c r="E15" s="3" t="s">
        <v>328</v>
      </c>
    </row>
    <row r="16">
      <c r="A16" s="23">
        <v>45888.867356793984</v>
      </c>
      <c r="B16" s="3" t="s">
        <v>329</v>
      </c>
      <c r="C16" s="3" t="s">
        <v>333</v>
      </c>
      <c r="D16" s="3" t="s">
        <v>334</v>
      </c>
      <c r="E16" s="3" t="s">
        <v>328</v>
      </c>
    </row>
    <row r="17">
      <c r="A17" s="23">
        <v>45888.86752833333</v>
      </c>
      <c r="B17" s="3" t="s">
        <v>329</v>
      </c>
      <c r="C17" s="3" t="s">
        <v>335</v>
      </c>
      <c r="D17" s="3" t="s">
        <v>115</v>
      </c>
      <c r="E17" s="3" t="s">
        <v>328</v>
      </c>
    </row>
    <row r="18">
      <c r="A18" s="23">
        <v>45888.86829966435</v>
      </c>
      <c r="B18" s="3" t="s">
        <v>329</v>
      </c>
      <c r="C18" s="66" t="str">
        <f>== Starting complete finance automation process ===</f>
        <v>#ERROR!</v>
      </c>
      <c r="D18" s="3" t="s">
        <v>115</v>
      </c>
      <c r="E18" s="3" t="s">
        <v>328</v>
      </c>
    </row>
    <row r="19">
      <c r="A19" s="23">
        <v>45888.86831247685</v>
      </c>
      <c r="B19" s="3" t="s">
        <v>329</v>
      </c>
      <c r="C19" s="3" t="s">
        <v>336</v>
      </c>
      <c r="D19" s="3" t="s">
        <v>115</v>
      </c>
      <c r="E19" s="3" t="s">
        <v>328</v>
      </c>
    </row>
    <row r="20">
      <c r="A20" s="23">
        <v>45888.86835109953</v>
      </c>
      <c r="B20" s="3" t="s">
        <v>329</v>
      </c>
      <c r="C20" s="3" t="s">
        <v>337</v>
      </c>
      <c r="D20" s="3" t="s">
        <v>115</v>
      </c>
      <c r="E20" s="3" t="s">
        <v>328</v>
      </c>
    </row>
    <row r="21">
      <c r="A21" s="23">
        <v>45888.868373136575</v>
      </c>
      <c r="B21" s="3" t="s">
        <v>329</v>
      </c>
      <c r="C21" s="3" t="s">
        <v>338</v>
      </c>
      <c r="D21" s="3" t="s">
        <v>339</v>
      </c>
      <c r="E21" s="3" t="s">
        <v>328</v>
      </c>
    </row>
    <row r="22">
      <c r="A22" s="23">
        <v>45888.86838244213</v>
      </c>
      <c r="B22" s="3" t="s">
        <v>329</v>
      </c>
      <c r="C22" s="3" t="s">
        <v>340</v>
      </c>
      <c r="D22" s="3" t="s">
        <v>115</v>
      </c>
      <c r="E22" s="3" t="s">
        <v>328</v>
      </c>
    </row>
    <row r="23">
      <c r="A23" s="23">
        <v>45888.86838714121</v>
      </c>
      <c r="B23" s="3" t="s">
        <v>329</v>
      </c>
      <c r="C23" s="3" t="s">
        <v>341</v>
      </c>
      <c r="D23" s="3" t="s">
        <v>115</v>
      </c>
      <c r="E23" s="3" t="s">
        <v>328</v>
      </c>
    </row>
    <row r="24">
      <c r="A24" s="23">
        <v>45888.868394317135</v>
      </c>
      <c r="B24" s="3" t="s">
        <v>329</v>
      </c>
      <c r="C24" s="3" t="s">
        <v>342</v>
      </c>
      <c r="D24" s="3" t="s">
        <v>115</v>
      </c>
      <c r="E24" s="3" t="s">
        <v>328</v>
      </c>
    </row>
    <row r="25">
      <c r="A25" s="23">
        <v>45888.868398437495</v>
      </c>
      <c r="B25" s="3" t="s">
        <v>329</v>
      </c>
      <c r="C25" s="3" t="s">
        <v>343</v>
      </c>
      <c r="D25" s="3" t="s">
        <v>115</v>
      </c>
      <c r="E25" s="3" t="s">
        <v>328</v>
      </c>
    </row>
    <row r="26">
      <c r="A26" s="23">
        <v>45888.86840299769</v>
      </c>
      <c r="B26" s="3" t="s">
        <v>329</v>
      </c>
      <c r="C26" s="3" t="s">
        <v>344</v>
      </c>
      <c r="D26" s="3" t="s">
        <v>115</v>
      </c>
      <c r="E26" s="3" t="s">
        <v>328</v>
      </c>
    </row>
    <row r="27">
      <c r="A27" s="23">
        <v>45888.86841563658</v>
      </c>
      <c r="B27" s="3" t="s">
        <v>329</v>
      </c>
      <c r="C27" s="3" t="s">
        <v>345</v>
      </c>
      <c r="D27" s="3" t="s">
        <v>115</v>
      </c>
      <c r="E27" s="3" t="s">
        <v>328</v>
      </c>
    </row>
    <row r="28">
      <c r="A28" s="23">
        <v>45888.8684333912</v>
      </c>
      <c r="B28" s="3" t="s">
        <v>329</v>
      </c>
      <c r="C28" s="3" t="s">
        <v>346</v>
      </c>
      <c r="D28" s="3" t="s">
        <v>115</v>
      </c>
      <c r="E28" s="3" t="s">
        <v>328</v>
      </c>
    </row>
    <row r="29">
      <c r="A29" s="23">
        <v>45888.868436585646</v>
      </c>
      <c r="B29" s="3" t="s">
        <v>329</v>
      </c>
      <c r="C29" s="3" t="s">
        <v>347</v>
      </c>
      <c r="D29" s="3" t="s">
        <v>115</v>
      </c>
      <c r="E29" s="3" t="s">
        <v>328</v>
      </c>
    </row>
    <row r="30">
      <c r="A30" s="23">
        <v>45888.868449733796</v>
      </c>
      <c r="B30" s="3" t="s">
        <v>329</v>
      </c>
      <c r="C30" s="3" t="s">
        <v>348</v>
      </c>
      <c r="D30" s="3" t="s">
        <v>115</v>
      </c>
      <c r="E30" s="3" t="s">
        <v>328</v>
      </c>
    </row>
    <row r="31">
      <c r="A31" s="23">
        <v>45888.86845356481</v>
      </c>
      <c r="B31" s="3" t="s">
        <v>329</v>
      </c>
      <c r="C31" s="3" t="s">
        <v>349</v>
      </c>
      <c r="D31" s="3" t="s">
        <v>115</v>
      </c>
      <c r="E31" s="3" t="s">
        <v>328</v>
      </c>
    </row>
    <row r="32">
      <c r="A32" s="23">
        <v>45888.868498703705</v>
      </c>
      <c r="B32" s="3" t="s">
        <v>325</v>
      </c>
      <c r="C32" s="3" t="s">
        <v>350</v>
      </c>
      <c r="D32" s="3" t="s">
        <v>351</v>
      </c>
      <c r="E32" s="3" t="s">
        <v>328</v>
      </c>
    </row>
    <row r="33">
      <c r="A33" s="23">
        <v>45888.86850296296</v>
      </c>
      <c r="B33" s="3" t="s">
        <v>329</v>
      </c>
      <c r="C33" s="3" t="s">
        <v>352</v>
      </c>
      <c r="D33" s="3" t="s">
        <v>115</v>
      </c>
      <c r="E33" s="3" t="s">
        <v>328</v>
      </c>
    </row>
    <row r="34">
      <c r="A34" s="23">
        <v>45888.86854332176</v>
      </c>
      <c r="B34" s="3" t="s">
        <v>329</v>
      </c>
      <c r="C34" s="3" t="s">
        <v>353</v>
      </c>
      <c r="D34" s="3" t="s">
        <v>115</v>
      </c>
      <c r="E34" s="3" t="s">
        <v>328</v>
      </c>
    </row>
    <row r="35">
      <c r="A35" s="23">
        <v>45888.86854657407</v>
      </c>
      <c r="B35" s="3" t="s">
        <v>329</v>
      </c>
      <c r="C35" s="66" t="str">
        <f>== Finance automation process completed successfully in 21s ===</f>
        <v>#ERROR!</v>
      </c>
      <c r="D35" s="3" t="s">
        <v>115</v>
      </c>
      <c r="E35" s="3" t="s">
        <v>328</v>
      </c>
    </row>
    <row r="36">
      <c r="A36" s="23">
        <v>45888.86881678241</v>
      </c>
      <c r="B36" s="3" t="s">
        <v>329</v>
      </c>
      <c r="C36" s="3" t="s">
        <v>344</v>
      </c>
      <c r="D36" s="3" t="s">
        <v>115</v>
      </c>
      <c r="E36" s="3" t="s">
        <v>328</v>
      </c>
    </row>
    <row r="37">
      <c r="A37" s="23">
        <v>45888.87132814815</v>
      </c>
      <c r="B37" s="3" t="s">
        <v>329</v>
      </c>
      <c r="C37" s="3" t="s">
        <v>335</v>
      </c>
      <c r="D37" s="3" t="s">
        <v>115</v>
      </c>
      <c r="E37" s="3" t="s">
        <v>328</v>
      </c>
    </row>
    <row r="38">
      <c r="A38" s="23">
        <v>45888.87202747686</v>
      </c>
      <c r="B38" s="3" t="s">
        <v>329</v>
      </c>
      <c r="C38" s="3" t="s">
        <v>354</v>
      </c>
      <c r="D38" s="3" t="s">
        <v>115</v>
      </c>
      <c r="E38" s="3" t="s">
        <v>328</v>
      </c>
    </row>
    <row r="39">
      <c r="A39" s="23">
        <v>45888.88521493056</v>
      </c>
      <c r="B39" s="3" t="s">
        <v>329</v>
      </c>
      <c r="C39" s="3" t="s">
        <v>335</v>
      </c>
      <c r="D39" s="3" t="s">
        <v>115</v>
      </c>
      <c r="E39" s="3" t="s">
        <v>328</v>
      </c>
    </row>
    <row r="40">
      <c r="A40" s="23">
        <v>45888.88594715278</v>
      </c>
      <c r="B40" s="3" t="s">
        <v>329</v>
      </c>
      <c r="C40" s="3" t="s">
        <v>335</v>
      </c>
      <c r="D40" s="3" t="s">
        <v>115</v>
      </c>
      <c r="E40" s="3" t="s">
        <v>328</v>
      </c>
    </row>
    <row r="41">
      <c r="A41" s="23">
        <v>45888.88743930556</v>
      </c>
      <c r="B41" s="3" t="s">
        <v>329</v>
      </c>
      <c r="C41" s="3" t="s">
        <v>333</v>
      </c>
      <c r="D41" s="3" t="s">
        <v>334</v>
      </c>
      <c r="E41" s="3" t="s">
        <v>328</v>
      </c>
    </row>
    <row r="42">
      <c r="A42" s="23">
        <v>45888.89158512732</v>
      </c>
      <c r="B42" s="3" t="s">
        <v>329</v>
      </c>
      <c r="C42" s="3" t="s">
        <v>355</v>
      </c>
      <c r="D42" s="3" t="s">
        <v>115</v>
      </c>
      <c r="E42" s="3" t="s">
        <v>328</v>
      </c>
    </row>
    <row r="43">
      <c r="A43" s="23">
        <v>45888.89726670139</v>
      </c>
      <c r="B43" s="3" t="s">
        <v>329</v>
      </c>
      <c r="C43" s="3" t="s">
        <v>355</v>
      </c>
      <c r="D43" s="3" t="s">
        <v>115</v>
      </c>
      <c r="E43" s="3" t="s">
        <v>328</v>
      </c>
    </row>
    <row r="44">
      <c r="A44" s="23">
        <v>45888.89899916667</v>
      </c>
      <c r="B44" s="3" t="s">
        <v>329</v>
      </c>
      <c r="C44" s="66" t="str">
        <f>== Starting complete finance automation process ===</f>
        <v>#ERROR!</v>
      </c>
      <c r="D44" s="3" t="s">
        <v>115</v>
      </c>
      <c r="E44" s="3" t="s">
        <v>328</v>
      </c>
    </row>
    <row r="45">
      <c r="A45" s="23">
        <v>45888.899007291664</v>
      </c>
      <c r="B45" s="3" t="s">
        <v>329</v>
      </c>
      <c r="C45" s="3" t="s">
        <v>336</v>
      </c>
      <c r="D45" s="3" t="s">
        <v>115</v>
      </c>
      <c r="E45" s="3" t="s">
        <v>328</v>
      </c>
    </row>
    <row r="46">
      <c r="A46" s="23">
        <v>45888.89905078703</v>
      </c>
      <c r="B46" s="3" t="s">
        <v>329</v>
      </c>
      <c r="C46" s="3" t="s">
        <v>337</v>
      </c>
      <c r="D46" s="3" t="s">
        <v>115</v>
      </c>
      <c r="E46" s="3" t="s">
        <v>328</v>
      </c>
    </row>
    <row r="47">
      <c r="A47" s="23">
        <v>45888.89908728009</v>
      </c>
      <c r="B47" s="3" t="s">
        <v>329</v>
      </c>
      <c r="C47" s="3" t="s">
        <v>338</v>
      </c>
      <c r="D47" s="3" t="s">
        <v>339</v>
      </c>
      <c r="E47" s="3" t="s">
        <v>328</v>
      </c>
    </row>
    <row r="48">
      <c r="A48" s="23">
        <v>45888.89908949074</v>
      </c>
      <c r="B48" s="3" t="s">
        <v>329</v>
      </c>
      <c r="C48" s="3" t="s">
        <v>340</v>
      </c>
      <c r="D48" s="3" t="s">
        <v>115</v>
      </c>
      <c r="E48" s="3" t="s">
        <v>328</v>
      </c>
    </row>
    <row r="49">
      <c r="A49" s="23">
        <v>45888.89909868056</v>
      </c>
      <c r="B49" s="3" t="s">
        <v>329</v>
      </c>
      <c r="C49" s="3" t="s">
        <v>341</v>
      </c>
      <c r="D49" s="3" t="s">
        <v>115</v>
      </c>
      <c r="E49" s="3" t="s">
        <v>328</v>
      </c>
    </row>
    <row r="50">
      <c r="A50" s="23">
        <v>45888.89910744213</v>
      </c>
      <c r="B50" s="3" t="s">
        <v>329</v>
      </c>
      <c r="C50" s="3" t="s">
        <v>342</v>
      </c>
      <c r="D50" s="3" t="s">
        <v>115</v>
      </c>
      <c r="E50" s="3" t="s">
        <v>328</v>
      </c>
    </row>
    <row r="51">
      <c r="A51" s="23">
        <v>45888.89911038194</v>
      </c>
      <c r="B51" s="3" t="s">
        <v>329</v>
      </c>
      <c r="C51" s="3" t="s">
        <v>343</v>
      </c>
      <c r="D51" s="3" t="s">
        <v>115</v>
      </c>
      <c r="E51" s="3" t="s">
        <v>328</v>
      </c>
    </row>
    <row r="52">
      <c r="A52" s="23">
        <v>45888.89911680555</v>
      </c>
      <c r="B52" s="3" t="s">
        <v>329</v>
      </c>
      <c r="C52" s="3" t="s">
        <v>355</v>
      </c>
      <c r="D52" s="3" t="s">
        <v>115</v>
      </c>
      <c r="E52" s="3" t="s">
        <v>328</v>
      </c>
    </row>
    <row r="53">
      <c r="A53" s="23">
        <v>45888.89911900463</v>
      </c>
      <c r="B53" s="3" t="s">
        <v>329</v>
      </c>
      <c r="C53" s="3" t="s">
        <v>345</v>
      </c>
      <c r="D53" s="3" t="s">
        <v>115</v>
      </c>
      <c r="E53" s="3" t="s">
        <v>328</v>
      </c>
    </row>
    <row r="54">
      <c r="A54" s="23">
        <v>45888.89912443287</v>
      </c>
      <c r="B54" s="3" t="s">
        <v>329</v>
      </c>
      <c r="C54" s="3" t="s">
        <v>346</v>
      </c>
      <c r="D54" s="3" t="s">
        <v>115</v>
      </c>
      <c r="E54" s="3" t="s">
        <v>328</v>
      </c>
    </row>
    <row r="55">
      <c r="A55" s="23">
        <v>45888.89912671296</v>
      </c>
      <c r="B55" s="3" t="s">
        <v>329</v>
      </c>
      <c r="C55" s="3" t="s">
        <v>347</v>
      </c>
      <c r="D55" s="3" t="s">
        <v>115</v>
      </c>
      <c r="E55" s="3" t="s">
        <v>328</v>
      </c>
    </row>
    <row r="56">
      <c r="A56" s="23">
        <v>45888.89914159723</v>
      </c>
      <c r="B56" s="3" t="s">
        <v>329</v>
      </c>
      <c r="C56" s="3" t="s">
        <v>348</v>
      </c>
      <c r="D56" s="3" t="s">
        <v>115</v>
      </c>
      <c r="E56" s="3" t="s">
        <v>328</v>
      </c>
    </row>
    <row r="57">
      <c r="A57" s="23">
        <v>45888.89914527778</v>
      </c>
      <c r="B57" s="3" t="s">
        <v>329</v>
      </c>
      <c r="C57" s="3" t="s">
        <v>349</v>
      </c>
      <c r="D57" s="3" t="s">
        <v>115</v>
      </c>
      <c r="E57" s="3" t="s">
        <v>328</v>
      </c>
    </row>
    <row r="58">
      <c r="A58" s="23">
        <v>45888.899176747684</v>
      </c>
      <c r="B58" s="3" t="s">
        <v>325</v>
      </c>
      <c r="C58" s="3" t="s">
        <v>350</v>
      </c>
      <c r="D58" s="3" t="s">
        <v>351</v>
      </c>
      <c r="E58" s="3" t="s">
        <v>328</v>
      </c>
    </row>
    <row r="59">
      <c r="A59" s="23">
        <v>45888.8991800463</v>
      </c>
      <c r="B59" s="3" t="s">
        <v>329</v>
      </c>
      <c r="C59" s="3" t="s">
        <v>352</v>
      </c>
      <c r="D59" s="3" t="s">
        <v>115</v>
      </c>
      <c r="E59" s="3" t="s">
        <v>328</v>
      </c>
    </row>
    <row r="60">
      <c r="A60" s="23">
        <v>45888.89919703704</v>
      </c>
      <c r="B60" s="3" t="s">
        <v>329</v>
      </c>
      <c r="C60" s="3" t="s">
        <v>353</v>
      </c>
      <c r="D60" s="3" t="s">
        <v>115</v>
      </c>
      <c r="E60" s="3" t="s">
        <v>328</v>
      </c>
    </row>
    <row r="61">
      <c r="A61" s="23">
        <v>45888.899199224536</v>
      </c>
      <c r="B61" s="3" t="s">
        <v>329</v>
      </c>
      <c r="C61" s="66" t="str">
        <f>== Finance automation process completed successfully in 17s ===</f>
        <v>#ERROR!</v>
      </c>
      <c r="D61" s="3" t="s">
        <v>115</v>
      </c>
      <c r="E61" s="3" t="s">
        <v>328</v>
      </c>
    </row>
    <row r="62">
      <c r="A62" s="23">
        <v>45888.91408997685</v>
      </c>
      <c r="B62" s="3" t="s">
        <v>329</v>
      </c>
      <c r="C62" s="66" t="str">
        <f>== Starting complete finance automation process ===</f>
        <v>#ERROR!</v>
      </c>
      <c r="D62" s="3" t="s">
        <v>115</v>
      </c>
      <c r="E62" s="3" t="s">
        <v>328</v>
      </c>
    </row>
    <row r="63">
      <c r="A63" s="23">
        <v>45888.914098657406</v>
      </c>
      <c r="B63" s="3" t="s">
        <v>329</v>
      </c>
      <c r="C63" s="3" t="s">
        <v>336</v>
      </c>
      <c r="D63" s="3" t="s">
        <v>115</v>
      </c>
      <c r="E63" s="3" t="s">
        <v>328</v>
      </c>
    </row>
    <row r="64">
      <c r="A64" s="23">
        <v>45888.91413331019</v>
      </c>
      <c r="B64" s="3" t="s">
        <v>329</v>
      </c>
      <c r="C64" s="3" t="s">
        <v>337</v>
      </c>
      <c r="D64" s="3" t="s">
        <v>115</v>
      </c>
      <c r="E64" s="3" t="s">
        <v>328</v>
      </c>
    </row>
    <row r="65">
      <c r="A65" s="23">
        <v>45888.91415907408</v>
      </c>
      <c r="B65" s="3" t="s">
        <v>329</v>
      </c>
      <c r="C65" s="3" t="s">
        <v>338</v>
      </c>
      <c r="D65" s="3" t="s">
        <v>339</v>
      </c>
      <c r="E65" s="3" t="s">
        <v>328</v>
      </c>
    </row>
    <row r="66">
      <c r="A66" s="23">
        <v>45888.91416184028</v>
      </c>
      <c r="B66" s="3" t="s">
        <v>329</v>
      </c>
      <c r="C66" s="3" t="s">
        <v>340</v>
      </c>
      <c r="D66" s="3" t="s">
        <v>115</v>
      </c>
      <c r="E66" s="3" t="s">
        <v>328</v>
      </c>
    </row>
    <row r="67">
      <c r="A67" s="23">
        <v>45888.91416596065</v>
      </c>
      <c r="B67" s="3" t="s">
        <v>329</v>
      </c>
      <c r="C67" s="3" t="s">
        <v>341</v>
      </c>
      <c r="D67" s="3" t="s">
        <v>115</v>
      </c>
      <c r="E67" s="3" t="s">
        <v>328</v>
      </c>
    </row>
    <row r="68">
      <c r="A68" s="23">
        <v>45888.91418202546</v>
      </c>
      <c r="B68" s="3" t="s">
        <v>329</v>
      </c>
      <c r="C68" s="3" t="s">
        <v>342</v>
      </c>
      <c r="D68" s="3" t="s">
        <v>115</v>
      </c>
      <c r="E68" s="3" t="s">
        <v>328</v>
      </c>
    </row>
    <row r="69">
      <c r="A69" s="23">
        <v>45888.91419539352</v>
      </c>
      <c r="B69" s="3" t="s">
        <v>329</v>
      </c>
      <c r="C69" s="3" t="s">
        <v>343</v>
      </c>
      <c r="D69" s="3" t="s">
        <v>115</v>
      </c>
      <c r="E69" s="3" t="s">
        <v>328</v>
      </c>
    </row>
    <row r="70">
      <c r="A70" s="23">
        <v>45888.91421667824</v>
      </c>
      <c r="B70" s="3" t="s">
        <v>329</v>
      </c>
      <c r="C70" s="3" t="s">
        <v>356</v>
      </c>
      <c r="D70" s="3" t="s">
        <v>357</v>
      </c>
      <c r="E70" s="3" t="s">
        <v>328</v>
      </c>
    </row>
    <row r="71">
      <c r="A71" s="23">
        <v>45888.91422604167</v>
      </c>
      <c r="B71" s="3" t="s">
        <v>329</v>
      </c>
      <c r="C71" s="3" t="s">
        <v>358</v>
      </c>
      <c r="D71" s="3" t="s">
        <v>359</v>
      </c>
      <c r="E71" s="3" t="s">
        <v>328</v>
      </c>
    </row>
    <row r="72">
      <c r="A72" s="23">
        <v>45888.91423587963</v>
      </c>
      <c r="B72" s="3" t="s">
        <v>329</v>
      </c>
      <c r="C72" s="3" t="s">
        <v>360</v>
      </c>
      <c r="D72" s="3" t="s">
        <v>361</v>
      </c>
      <c r="E72" s="3" t="s">
        <v>328</v>
      </c>
    </row>
    <row r="73">
      <c r="A73" s="23">
        <v>45888.91425556713</v>
      </c>
      <c r="B73" s="3" t="s">
        <v>329</v>
      </c>
      <c r="C73" s="3" t="s">
        <v>362</v>
      </c>
      <c r="D73" s="3" t="s">
        <v>363</v>
      </c>
      <c r="E73" s="3" t="s">
        <v>328</v>
      </c>
    </row>
    <row r="74">
      <c r="A74" s="23">
        <v>45888.91426380787</v>
      </c>
      <c r="B74" s="3" t="s">
        <v>329</v>
      </c>
      <c r="C74" s="3" t="s">
        <v>364</v>
      </c>
      <c r="D74" s="3" t="s">
        <v>365</v>
      </c>
      <c r="E74" s="3" t="s">
        <v>328</v>
      </c>
    </row>
    <row r="75">
      <c r="A75" s="23">
        <v>45888.91426614583</v>
      </c>
      <c r="B75" s="3" t="s">
        <v>329</v>
      </c>
      <c r="C75" s="3" t="s">
        <v>355</v>
      </c>
      <c r="D75" s="3" t="s">
        <v>115</v>
      </c>
      <c r="E75" s="3" t="s">
        <v>328</v>
      </c>
    </row>
    <row r="76">
      <c r="A76" s="23">
        <v>45888.9142690625</v>
      </c>
      <c r="B76" s="3" t="s">
        <v>329</v>
      </c>
      <c r="C76" s="3" t="s">
        <v>345</v>
      </c>
      <c r="D76" s="3" t="s">
        <v>115</v>
      </c>
      <c r="E76" s="3" t="s">
        <v>328</v>
      </c>
    </row>
    <row r="77">
      <c r="A77" s="23">
        <v>45888.914280625</v>
      </c>
      <c r="B77" s="3" t="s">
        <v>329</v>
      </c>
      <c r="C77" s="3" t="s">
        <v>346</v>
      </c>
      <c r="D77" s="3" t="s">
        <v>115</v>
      </c>
      <c r="E77" s="3" t="s">
        <v>328</v>
      </c>
    </row>
    <row r="78">
      <c r="A78" s="23">
        <v>45888.91428303241</v>
      </c>
      <c r="B78" s="3" t="s">
        <v>329</v>
      </c>
      <c r="C78" s="3" t="s">
        <v>347</v>
      </c>
      <c r="D78" s="3" t="s">
        <v>115</v>
      </c>
      <c r="E78" s="3" t="s">
        <v>328</v>
      </c>
    </row>
    <row r="79">
      <c r="A79" s="23">
        <v>45888.91429216435</v>
      </c>
      <c r="B79" s="3" t="s">
        <v>329</v>
      </c>
      <c r="C79" s="3" t="s">
        <v>348</v>
      </c>
      <c r="D79" s="3" t="s">
        <v>115</v>
      </c>
      <c r="E79" s="3" t="s">
        <v>328</v>
      </c>
    </row>
    <row r="80">
      <c r="A80" s="23">
        <v>45888.91430597223</v>
      </c>
      <c r="B80" s="3" t="s">
        <v>329</v>
      </c>
      <c r="C80" s="3" t="s">
        <v>349</v>
      </c>
      <c r="D80" s="3" t="s">
        <v>115</v>
      </c>
      <c r="E80" s="3" t="s">
        <v>328</v>
      </c>
    </row>
    <row r="81">
      <c r="A81" s="23">
        <v>45888.91434497685</v>
      </c>
      <c r="B81" s="3" t="s">
        <v>325</v>
      </c>
      <c r="C81" s="3" t="s">
        <v>350</v>
      </c>
      <c r="D81" s="3" t="s">
        <v>351</v>
      </c>
      <c r="E81" s="3" t="s">
        <v>328</v>
      </c>
    </row>
    <row r="82">
      <c r="A82" s="23">
        <v>45888.91434778935</v>
      </c>
      <c r="B82" s="3" t="s">
        <v>329</v>
      </c>
      <c r="C82" s="3" t="s">
        <v>352</v>
      </c>
      <c r="D82" s="3" t="s">
        <v>115</v>
      </c>
      <c r="E82" s="3" t="s">
        <v>328</v>
      </c>
    </row>
    <row r="83">
      <c r="A83" s="23">
        <v>45888.91436473379</v>
      </c>
      <c r="B83" s="3" t="s">
        <v>329</v>
      </c>
      <c r="C83" s="3" t="s">
        <v>353</v>
      </c>
      <c r="D83" s="3" t="s">
        <v>115</v>
      </c>
      <c r="E83" s="3" t="s">
        <v>328</v>
      </c>
    </row>
    <row r="84">
      <c r="A84" s="23">
        <v>45888.91436730324</v>
      </c>
      <c r="B84" s="3" t="s">
        <v>329</v>
      </c>
      <c r="C84" s="66" t="str">
        <f>== Finance automation process completed successfully in 24s ===</f>
        <v>#ERROR!</v>
      </c>
      <c r="D84" s="3" t="s">
        <v>115</v>
      </c>
      <c r="E84" s="3" t="s">
        <v>328</v>
      </c>
    </row>
    <row r="85">
      <c r="A85" s="23">
        <v>45888.915553321756</v>
      </c>
      <c r="B85" s="3" t="s">
        <v>329</v>
      </c>
      <c r="C85" s="3" t="s">
        <v>366</v>
      </c>
      <c r="D85" s="3" t="s">
        <v>367</v>
      </c>
      <c r="E85" s="3" t="s">
        <v>328</v>
      </c>
    </row>
    <row r="86">
      <c r="A86" s="23">
        <v>45888.91556363426</v>
      </c>
      <c r="B86" s="3" t="s">
        <v>329</v>
      </c>
      <c r="C86" s="3" t="s">
        <v>368</v>
      </c>
      <c r="D86" s="3" t="s">
        <v>369</v>
      </c>
      <c r="E86" s="3" t="s">
        <v>328</v>
      </c>
    </row>
    <row r="87">
      <c r="A87" s="23">
        <v>45888.91557831019</v>
      </c>
      <c r="B87" s="3" t="s">
        <v>329</v>
      </c>
      <c r="C87" s="3" t="s">
        <v>370</v>
      </c>
      <c r="D87" s="3" t="s">
        <v>371</v>
      </c>
      <c r="E87" s="3" t="s">
        <v>328</v>
      </c>
    </row>
    <row r="88">
      <c r="A88" s="23">
        <v>45888.915587870375</v>
      </c>
      <c r="B88" s="3" t="s">
        <v>329</v>
      </c>
      <c r="C88" s="3" t="s">
        <v>372</v>
      </c>
      <c r="D88" s="3" t="s">
        <v>363</v>
      </c>
      <c r="E88" s="3" t="s">
        <v>328</v>
      </c>
    </row>
    <row r="89">
      <c r="A89" s="23">
        <v>45888.915595729166</v>
      </c>
      <c r="B89" s="3" t="s">
        <v>329</v>
      </c>
      <c r="C89" s="3" t="s">
        <v>373</v>
      </c>
      <c r="D89" s="3" t="s">
        <v>374</v>
      </c>
      <c r="E89" s="3" t="s">
        <v>328</v>
      </c>
    </row>
    <row r="90">
      <c r="A90" s="23">
        <v>45888.91560508102</v>
      </c>
      <c r="B90" s="3" t="s">
        <v>329</v>
      </c>
      <c r="C90" s="3" t="s">
        <v>375</v>
      </c>
      <c r="D90" s="3" t="s">
        <v>115</v>
      </c>
      <c r="E90" s="3" t="s">
        <v>328</v>
      </c>
    </row>
    <row r="91">
      <c r="A91" s="23">
        <v>45888.91560791667</v>
      </c>
      <c r="B91" s="3" t="s">
        <v>329</v>
      </c>
      <c r="C91" s="3" t="s">
        <v>376</v>
      </c>
      <c r="D91" s="3" t="s">
        <v>115</v>
      </c>
      <c r="E91" s="3" t="s">
        <v>328</v>
      </c>
    </row>
    <row r="92">
      <c r="A92" s="23">
        <v>45888.91577493056</v>
      </c>
      <c r="B92" s="3" t="s">
        <v>329</v>
      </c>
      <c r="C92" s="3" t="s">
        <v>366</v>
      </c>
      <c r="D92" s="3" t="s">
        <v>367</v>
      </c>
      <c r="E92" s="3" t="s">
        <v>328</v>
      </c>
    </row>
    <row r="93">
      <c r="A93" s="23">
        <v>45888.9157825</v>
      </c>
      <c r="B93" s="3" t="s">
        <v>329</v>
      </c>
      <c r="C93" s="3" t="s">
        <v>368</v>
      </c>
      <c r="D93" s="3" t="s">
        <v>369</v>
      </c>
      <c r="E93" s="3" t="s">
        <v>328</v>
      </c>
    </row>
    <row r="94">
      <c r="A94" s="23">
        <v>45888.91579590278</v>
      </c>
      <c r="B94" s="3" t="s">
        <v>329</v>
      </c>
      <c r="C94" s="3" t="s">
        <v>370</v>
      </c>
      <c r="D94" s="3" t="s">
        <v>371</v>
      </c>
      <c r="E94" s="3" t="s">
        <v>328</v>
      </c>
    </row>
    <row r="95">
      <c r="A95" s="23">
        <v>45888.91580746528</v>
      </c>
      <c r="B95" s="3" t="s">
        <v>329</v>
      </c>
      <c r="C95" s="3" t="s">
        <v>362</v>
      </c>
      <c r="D95" s="3" t="s">
        <v>363</v>
      </c>
      <c r="E95" s="3" t="s">
        <v>328</v>
      </c>
    </row>
    <row r="96">
      <c r="A96" s="23">
        <v>45888.91581443287</v>
      </c>
      <c r="B96" s="3" t="s">
        <v>329</v>
      </c>
      <c r="C96" s="3" t="s">
        <v>373</v>
      </c>
      <c r="D96" s="3" t="s">
        <v>374</v>
      </c>
      <c r="E96" s="3" t="s">
        <v>328</v>
      </c>
    </row>
    <row r="97">
      <c r="A97" s="23">
        <v>45888.9158202199</v>
      </c>
      <c r="B97" s="3" t="s">
        <v>329</v>
      </c>
      <c r="C97" s="3" t="s">
        <v>375</v>
      </c>
      <c r="D97" s="3" t="s">
        <v>115</v>
      </c>
      <c r="E97" s="3" t="s">
        <v>328</v>
      </c>
    </row>
    <row r="98">
      <c r="A98" s="23">
        <v>45888.915822407405</v>
      </c>
      <c r="B98" s="3" t="s">
        <v>329</v>
      </c>
      <c r="C98" s="3" t="s">
        <v>376</v>
      </c>
      <c r="D98" s="3" t="s">
        <v>115</v>
      </c>
      <c r="E98" s="3" t="s">
        <v>328</v>
      </c>
    </row>
    <row r="99">
      <c r="A99" s="23">
        <v>45888.91638730324</v>
      </c>
      <c r="B99" s="3" t="s">
        <v>329</v>
      </c>
      <c r="C99" s="66" t="str">
        <f>== Starting complete finance automation process ===</f>
        <v>#ERROR!</v>
      </c>
      <c r="D99" s="3" t="s">
        <v>115</v>
      </c>
      <c r="E99" s="3" t="s">
        <v>328</v>
      </c>
    </row>
    <row r="100">
      <c r="A100" s="23">
        <v>45888.91639665509</v>
      </c>
      <c r="B100" s="3" t="s">
        <v>329</v>
      </c>
      <c r="C100" s="3" t="s">
        <v>336</v>
      </c>
      <c r="D100" s="3" t="s">
        <v>115</v>
      </c>
      <c r="E100" s="3" t="s">
        <v>328</v>
      </c>
    </row>
    <row r="101">
      <c r="A101" s="23">
        <v>45888.91640901621</v>
      </c>
      <c r="B101" s="3" t="s">
        <v>329</v>
      </c>
      <c r="C101" s="3" t="s">
        <v>337</v>
      </c>
      <c r="D101" s="3" t="s">
        <v>115</v>
      </c>
      <c r="E101" s="3" t="s">
        <v>328</v>
      </c>
    </row>
    <row r="102">
      <c r="A102" s="23">
        <v>45888.91644798611</v>
      </c>
      <c r="B102" s="3" t="s">
        <v>329</v>
      </c>
      <c r="C102" s="3" t="s">
        <v>338</v>
      </c>
      <c r="D102" s="3" t="s">
        <v>339</v>
      </c>
      <c r="E102" s="3" t="s">
        <v>328</v>
      </c>
    </row>
    <row r="103">
      <c r="A103" s="23">
        <v>45888.91645087963</v>
      </c>
      <c r="B103" s="3" t="s">
        <v>329</v>
      </c>
      <c r="C103" s="3" t="s">
        <v>340</v>
      </c>
      <c r="D103" s="3" t="s">
        <v>115</v>
      </c>
      <c r="E103" s="3" t="s">
        <v>328</v>
      </c>
    </row>
    <row r="104">
      <c r="A104" s="23">
        <v>45888.916454895836</v>
      </c>
      <c r="B104" s="3" t="s">
        <v>329</v>
      </c>
      <c r="C104" s="3" t="s">
        <v>341</v>
      </c>
      <c r="D104" s="3" t="s">
        <v>115</v>
      </c>
      <c r="E104" s="3" t="s">
        <v>328</v>
      </c>
    </row>
    <row r="105">
      <c r="A105" s="23">
        <v>45888.91645903935</v>
      </c>
      <c r="B105" s="3" t="s">
        <v>329</v>
      </c>
      <c r="C105" s="3" t="s">
        <v>342</v>
      </c>
      <c r="D105" s="3" t="s">
        <v>115</v>
      </c>
      <c r="E105" s="3" t="s">
        <v>328</v>
      </c>
    </row>
    <row r="106">
      <c r="A106" s="23">
        <v>45888.91646173611</v>
      </c>
      <c r="B106" s="3" t="s">
        <v>329</v>
      </c>
      <c r="C106" s="3" t="s">
        <v>343</v>
      </c>
      <c r="D106" s="3" t="s">
        <v>115</v>
      </c>
      <c r="E106" s="3" t="s">
        <v>328</v>
      </c>
    </row>
    <row r="107">
      <c r="A107" s="23">
        <v>45888.91647053241</v>
      </c>
      <c r="B107" s="3" t="s">
        <v>329</v>
      </c>
      <c r="C107" s="3" t="s">
        <v>366</v>
      </c>
      <c r="D107" s="3" t="s">
        <v>367</v>
      </c>
      <c r="E107" s="3" t="s">
        <v>328</v>
      </c>
    </row>
    <row r="108">
      <c r="A108" s="23">
        <v>45888.91647847222</v>
      </c>
      <c r="B108" s="3" t="s">
        <v>329</v>
      </c>
      <c r="C108" s="3" t="s">
        <v>368</v>
      </c>
      <c r="D108" s="3" t="s">
        <v>369</v>
      </c>
      <c r="E108" s="3" t="s">
        <v>328</v>
      </c>
    </row>
    <row r="109">
      <c r="A109" s="23">
        <v>45888.9164846412</v>
      </c>
      <c r="B109" s="3" t="s">
        <v>329</v>
      </c>
      <c r="C109" s="3" t="s">
        <v>370</v>
      </c>
      <c r="D109" s="3" t="s">
        <v>371</v>
      </c>
      <c r="E109" s="3" t="s">
        <v>328</v>
      </c>
    </row>
    <row r="110">
      <c r="A110" s="23">
        <v>45888.91649240741</v>
      </c>
      <c r="B110" s="3" t="s">
        <v>329</v>
      </c>
      <c r="C110" s="3" t="s">
        <v>362</v>
      </c>
      <c r="D110" s="3" t="s">
        <v>363</v>
      </c>
      <c r="E110" s="3" t="s">
        <v>328</v>
      </c>
    </row>
    <row r="111">
      <c r="A111" s="23">
        <v>45888.91650436343</v>
      </c>
      <c r="B111" s="3" t="s">
        <v>329</v>
      </c>
      <c r="C111" s="3" t="s">
        <v>373</v>
      </c>
      <c r="D111" s="3" t="s">
        <v>374</v>
      </c>
      <c r="E111" s="3" t="s">
        <v>328</v>
      </c>
    </row>
    <row r="112">
      <c r="A112" s="23">
        <v>45888.916514930555</v>
      </c>
      <c r="B112" s="3" t="s">
        <v>329</v>
      </c>
      <c r="C112" s="3" t="s">
        <v>375</v>
      </c>
      <c r="D112" s="3" t="s">
        <v>115</v>
      </c>
      <c r="E112" s="3" t="s">
        <v>328</v>
      </c>
    </row>
    <row r="113">
      <c r="A113" s="23">
        <v>45888.91652445601</v>
      </c>
      <c r="B113" s="3" t="s">
        <v>329</v>
      </c>
      <c r="C113" s="3" t="s">
        <v>376</v>
      </c>
      <c r="D113" s="3" t="s">
        <v>115</v>
      </c>
      <c r="E113" s="3" t="s">
        <v>328</v>
      </c>
    </row>
    <row r="114">
      <c r="A114" s="23">
        <v>45888.916526898145</v>
      </c>
      <c r="B114" s="3" t="s">
        <v>329</v>
      </c>
      <c r="C114" s="3" t="s">
        <v>345</v>
      </c>
      <c r="D114" s="3" t="s">
        <v>115</v>
      </c>
      <c r="E114" s="3" t="s">
        <v>328</v>
      </c>
    </row>
    <row r="115">
      <c r="A115" s="23">
        <v>45888.916538819445</v>
      </c>
      <c r="B115" s="3" t="s">
        <v>329</v>
      </c>
      <c r="C115" s="3" t="s">
        <v>346</v>
      </c>
      <c r="D115" s="3" t="s">
        <v>115</v>
      </c>
      <c r="E115" s="3" t="s">
        <v>328</v>
      </c>
    </row>
    <row r="116">
      <c r="A116" s="23">
        <v>45888.91654200232</v>
      </c>
      <c r="B116" s="3" t="s">
        <v>329</v>
      </c>
      <c r="C116" s="3" t="s">
        <v>347</v>
      </c>
      <c r="D116" s="3" t="s">
        <v>115</v>
      </c>
      <c r="E116" s="3" t="s">
        <v>328</v>
      </c>
    </row>
    <row r="117">
      <c r="A117" s="23">
        <v>45888.916554131945</v>
      </c>
      <c r="B117" s="3" t="s">
        <v>329</v>
      </c>
      <c r="C117" s="3" t="s">
        <v>377</v>
      </c>
      <c r="D117" s="3" t="s">
        <v>115</v>
      </c>
      <c r="E117" s="3" t="s">
        <v>328</v>
      </c>
    </row>
    <row r="118">
      <c r="A118" s="23">
        <v>45888.91655666666</v>
      </c>
      <c r="B118" s="3" t="s">
        <v>329</v>
      </c>
      <c r="C118" s="3" t="s">
        <v>349</v>
      </c>
      <c r="D118" s="3" t="s">
        <v>115</v>
      </c>
      <c r="E118" s="3" t="s">
        <v>328</v>
      </c>
    </row>
    <row r="119">
      <c r="A119" s="23">
        <v>45888.91658438658</v>
      </c>
      <c r="B119" s="3" t="s">
        <v>325</v>
      </c>
      <c r="C119" s="3" t="s">
        <v>350</v>
      </c>
      <c r="D119" s="3" t="s">
        <v>351</v>
      </c>
      <c r="E119" s="3" t="s">
        <v>328</v>
      </c>
    </row>
    <row r="120">
      <c r="A120" s="23">
        <v>45888.91658701389</v>
      </c>
      <c r="B120" s="3" t="s">
        <v>329</v>
      </c>
      <c r="C120" s="3" t="s">
        <v>352</v>
      </c>
      <c r="D120" s="3" t="s">
        <v>115</v>
      </c>
      <c r="E120" s="3" t="s">
        <v>328</v>
      </c>
    </row>
    <row r="121">
      <c r="A121" s="23">
        <v>45888.916607754625</v>
      </c>
      <c r="B121" s="3" t="s">
        <v>329</v>
      </c>
      <c r="C121" s="3" t="s">
        <v>353</v>
      </c>
      <c r="D121" s="3" t="s">
        <v>115</v>
      </c>
      <c r="E121" s="3" t="s">
        <v>328</v>
      </c>
    </row>
    <row r="122">
      <c r="A122" s="23">
        <v>45888.91661210648</v>
      </c>
      <c r="B122" s="3" t="s">
        <v>329</v>
      </c>
      <c r="C122" s="66" t="str">
        <f>== Finance automation process completed successfully in 19s ===</f>
        <v>#ERROR!</v>
      </c>
      <c r="D122" s="3" t="s">
        <v>115</v>
      </c>
      <c r="E122" s="3" t="s">
        <v>328</v>
      </c>
    </row>
    <row r="123">
      <c r="A123" s="23">
        <v>45888.91694984953</v>
      </c>
      <c r="B123" s="3" t="s">
        <v>329</v>
      </c>
      <c r="C123" s="66" t="str">
        <f>== Starting complete finance automation process ===</f>
        <v>#ERROR!</v>
      </c>
      <c r="D123" s="3" t="s">
        <v>115</v>
      </c>
      <c r="E123" s="3" t="s">
        <v>328</v>
      </c>
    </row>
    <row r="124">
      <c r="A124" s="23">
        <v>45888.91695612269</v>
      </c>
      <c r="B124" s="3" t="s">
        <v>329</v>
      </c>
      <c r="C124" s="3" t="s">
        <v>336</v>
      </c>
      <c r="D124" s="3" t="s">
        <v>115</v>
      </c>
      <c r="E124" s="3" t="s">
        <v>328</v>
      </c>
    </row>
    <row r="125">
      <c r="A125" s="23">
        <v>45888.91697315972</v>
      </c>
      <c r="B125" s="3" t="s">
        <v>329</v>
      </c>
      <c r="C125" s="3" t="s">
        <v>337</v>
      </c>
      <c r="D125" s="3" t="s">
        <v>115</v>
      </c>
      <c r="E125" s="3" t="s">
        <v>328</v>
      </c>
    </row>
    <row r="126">
      <c r="A126" s="23">
        <v>45888.91700001157</v>
      </c>
      <c r="B126" s="3" t="s">
        <v>329</v>
      </c>
      <c r="C126" s="3" t="s">
        <v>338</v>
      </c>
      <c r="D126" s="3" t="s">
        <v>339</v>
      </c>
      <c r="E126" s="3" t="s">
        <v>328</v>
      </c>
    </row>
    <row r="127">
      <c r="A127" s="23">
        <v>45888.9170021412</v>
      </c>
      <c r="B127" s="3" t="s">
        <v>329</v>
      </c>
      <c r="C127" s="3" t="s">
        <v>340</v>
      </c>
      <c r="D127" s="3" t="s">
        <v>115</v>
      </c>
      <c r="E127" s="3" t="s">
        <v>328</v>
      </c>
    </row>
    <row r="128">
      <c r="A128" s="23">
        <v>45888.9170050463</v>
      </c>
      <c r="B128" s="3" t="s">
        <v>329</v>
      </c>
      <c r="C128" s="3" t="s">
        <v>341</v>
      </c>
      <c r="D128" s="3" t="s">
        <v>115</v>
      </c>
      <c r="E128" s="3" t="s">
        <v>328</v>
      </c>
    </row>
    <row r="129">
      <c r="A129" s="23">
        <v>45888.91700743056</v>
      </c>
      <c r="B129" s="3" t="s">
        <v>329</v>
      </c>
      <c r="C129" s="3" t="s">
        <v>342</v>
      </c>
      <c r="D129" s="3" t="s">
        <v>115</v>
      </c>
      <c r="E129" s="3" t="s">
        <v>328</v>
      </c>
    </row>
    <row r="130">
      <c r="A130" s="23">
        <v>45888.91701024305</v>
      </c>
      <c r="B130" s="3" t="s">
        <v>329</v>
      </c>
      <c r="C130" s="3" t="s">
        <v>343</v>
      </c>
      <c r="D130" s="3" t="s">
        <v>115</v>
      </c>
      <c r="E130" s="3" t="s">
        <v>328</v>
      </c>
    </row>
    <row r="131">
      <c r="A131" s="23">
        <v>45888.91702126157</v>
      </c>
      <c r="B131" s="3" t="s">
        <v>329</v>
      </c>
      <c r="C131" s="3" t="s">
        <v>366</v>
      </c>
      <c r="D131" s="3" t="s">
        <v>378</v>
      </c>
      <c r="E131" s="3" t="s">
        <v>328</v>
      </c>
    </row>
    <row r="132">
      <c r="A132" s="23">
        <v>45888.917026759256</v>
      </c>
      <c r="B132" s="3" t="s">
        <v>329</v>
      </c>
      <c r="C132" s="3" t="s">
        <v>368</v>
      </c>
      <c r="D132" s="3" t="s">
        <v>369</v>
      </c>
      <c r="E132" s="3" t="s">
        <v>328</v>
      </c>
    </row>
    <row r="133">
      <c r="A133" s="23">
        <v>45888.91703188657</v>
      </c>
      <c r="B133" s="3" t="s">
        <v>329</v>
      </c>
      <c r="C133" s="3" t="s">
        <v>370</v>
      </c>
      <c r="D133" s="3" t="s">
        <v>371</v>
      </c>
      <c r="E133" s="3" t="s">
        <v>328</v>
      </c>
    </row>
    <row r="134">
      <c r="A134" s="23">
        <v>45888.91704</v>
      </c>
      <c r="B134" s="3" t="s">
        <v>329</v>
      </c>
      <c r="C134" s="3" t="s">
        <v>362</v>
      </c>
      <c r="D134" s="3" t="s">
        <v>363</v>
      </c>
      <c r="E134" s="3" t="s">
        <v>328</v>
      </c>
    </row>
    <row r="135">
      <c r="A135" s="23">
        <v>45888.917045775466</v>
      </c>
      <c r="B135" s="3" t="s">
        <v>329</v>
      </c>
      <c r="C135" s="3" t="s">
        <v>373</v>
      </c>
      <c r="D135" s="3" t="s">
        <v>374</v>
      </c>
      <c r="E135" s="3" t="s">
        <v>328</v>
      </c>
    </row>
    <row r="136">
      <c r="A136" s="23">
        <v>45888.91706266203</v>
      </c>
      <c r="B136" s="3" t="s">
        <v>329</v>
      </c>
      <c r="C136" s="3" t="s">
        <v>379</v>
      </c>
      <c r="D136" s="3" t="s">
        <v>115</v>
      </c>
      <c r="E136" s="3" t="s">
        <v>328</v>
      </c>
    </row>
    <row r="137">
      <c r="A137" s="23">
        <v>45888.91706471065</v>
      </c>
      <c r="B137" s="3" t="s">
        <v>329</v>
      </c>
      <c r="C137" s="3" t="s">
        <v>376</v>
      </c>
      <c r="D137" s="3" t="s">
        <v>115</v>
      </c>
      <c r="E137" s="3" t="s">
        <v>328</v>
      </c>
    </row>
    <row r="138">
      <c r="A138" s="23">
        <v>45888.91706790509</v>
      </c>
      <c r="B138" s="3" t="s">
        <v>329</v>
      </c>
      <c r="C138" s="3" t="s">
        <v>345</v>
      </c>
      <c r="D138" s="3" t="s">
        <v>115</v>
      </c>
      <c r="E138" s="3" t="s">
        <v>328</v>
      </c>
    </row>
    <row r="139">
      <c r="A139" s="23">
        <v>45888.917072638884</v>
      </c>
      <c r="B139" s="3" t="s">
        <v>329</v>
      </c>
      <c r="C139" s="3" t="s">
        <v>346</v>
      </c>
      <c r="D139" s="3" t="s">
        <v>115</v>
      </c>
      <c r="E139" s="3" t="s">
        <v>328</v>
      </c>
    </row>
    <row r="140">
      <c r="A140" s="23">
        <v>45888.9170744213</v>
      </c>
      <c r="B140" s="3" t="s">
        <v>329</v>
      </c>
      <c r="C140" s="3" t="s">
        <v>347</v>
      </c>
      <c r="D140" s="3" t="s">
        <v>115</v>
      </c>
      <c r="E140" s="3" t="s">
        <v>328</v>
      </c>
    </row>
    <row r="141">
      <c r="A141" s="23">
        <v>45888.91708221065</v>
      </c>
      <c r="B141" s="3" t="s">
        <v>329</v>
      </c>
      <c r="C141" s="3" t="s">
        <v>380</v>
      </c>
      <c r="D141" s="3" t="s">
        <v>115</v>
      </c>
      <c r="E141" s="3" t="s">
        <v>328</v>
      </c>
    </row>
    <row r="142">
      <c r="A142" s="23">
        <v>45888.91708458333</v>
      </c>
      <c r="B142" s="3" t="s">
        <v>329</v>
      </c>
      <c r="C142" s="3" t="s">
        <v>349</v>
      </c>
      <c r="D142" s="3" t="s">
        <v>115</v>
      </c>
      <c r="E142" s="3" t="s">
        <v>328</v>
      </c>
    </row>
    <row r="143">
      <c r="A143" s="23">
        <v>45888.917138564815</v>
      </c>
      <c r="B143" s="3" t="s">
        <v>325</v>
      </c>
      <c r="C143" s="3" t="s">
        <v>350</v>
      </c>
      <c r="D143" s="3" t="s">
        <v>351</v>
      </c>
      <c r="E143" s="3" t="s">
        <v>328</v>
      </c>
    </row>
    <row r="144">
      <c r="A144" s="23">
        <v>45888.91714144676</v>
      </c>
      <c r="B144" s="3" t="s">
        <v>329</v>
      </c>
      <c r="C144" s="3" t="s">
        <v>352</v>
      </c>
      <c r="D144" s="3" t="s">
        <v>115</v>
      </c>
      <c r="E144" s="3" t="s">
        <v>328</v>
      </c>
    </row>
    <row r="145">
      <c r="A145" s="23">
        <v>45888.91715528935</v>
      </c>
      <c r="B145" s="3" t="s">
        <v>329</v>
      </c>
      <c r="C145" s="3" t="s">
        <v>353</v>
      </c>
      <c r="D145" s="3" t="s">
        <v>115</v>
      </c>
      <c r="E145" s="3" t="s">
        <v>328</v>
      </c>
    </row>
    <row r="146">
      <c r="A146" s="23">
        <v>45888.91715728009</v>
      </c>
      <c r="B146" s="3" t="s">
        <v>329</v>
      </c>
      <c r="C146" s="66" t="str">
        <f>== Finance automation process completed successfully in 18s ===</f>
        <v>#ERROR!</v>
      </c>
      <c r="D146" s="3" t="s">
        <v>115</v>
      </c>
      <c r="E146" s="3" t="s">
        <v>328</v>
      </c>
    </row>
    <row r="147">
      <c r="A147" s="23">
        <v>45888.91832856482</v>
      </c>
      <c r="B147" s="3" t="s">
        <v>329</v>
      </c>
      <c r="C147" s="66" t="str">
        <f>== Starting complete finance automation process ===</f>
        <v>#ERROR!</v>
      </c>
      <c r="D147" s="3" t="s">
        <v>115</v>
      </c>
      <c r="E147" s="3" t="s">
        <v>328</v>
      </c>
    </row>
    <row r="148">
      <c r="A148" s="23">
        <v>45888.918353437504</v>
      </c>
      <c r="B148" s="3" t="s">
        <v>329</v>
      </c>
      <c r="C148" s="3" t="s">
        <v>336</v>
      </c>
      <c r="D148" s="3" t="s">
        <v>115</v>
      </c>
      <c r="E148" s="3" t="s">
        <v>328</v>
      </c>
    </row>
    <row r="149">
      <c r="A149" s="23">
        <v>45888.91839532407</v>
      </c>
      <c r="B149" s="3" t="s">
        <v>329</v>
      </c>
      <c r="C149" s="3" t="s">
        <v>337</v>
      </c>
      <c r="D149" s="3" t="s">
        <v>115</v>
      </c>
      <c r="E149" s="3" t="s">
        <v>328</v>
      </c>
    </row>
    <row r="150">
      <c r="A150" s="23">
        <v>45888.91845189815</v>
      </c>
      <c r="B150" s="3" t="s">
        <v>329</v>
      </c>
      <c r="C150" s="3" t="s">
        <v>338</v>
      </c>
      <c r="D150" s="3" t="s">
        <v>339</v>
      </c>
      <c r="E150" s="3" t="s">
        <v>328</v>
      </c>
    </row>
    <row r="151">
      <c r="A151" s="23">
        <v>45888.91845518519</v>
      </c>
      <c r="B151" s="3" t="s">
        <v>329</v>
      </c>
      <c r="C151" s="3" t="s">
        <v>340</v>
      </c>
      <c r="D151" s="3" t="s">
        <v>115</v>
      </c>
      <c r="E151" s="3" t="s">
        <v>328</v>
      </c>
    </row>
    <row r="152">
      <c r="A152" s="23">
        <v>45888.91845979167</v>
      </c>
      <c r="B152" s="3" t="s">
        <v>329</v>
      </c>
      <c r="C152" s="3" t="s">
        <v>341</v>
      </c>
      <c r="D152" s="3" t="s">
        <v>115</v>
      </c>
      <c r="E152" s="3" t="s">
        <v>328</v>
      </c>
    </row>
    <row r="153">
      <c r="A153" s="23">
        <v>45888.91846331018</v>
      </c>
      <c r="B153" s="3" t="s">
        <v>329</v>
      </c>
      <c r="C153" s="3" t="s">
        <v>342</v>
      </c>
      <c r="D153" s="3" t="s">
        <v>115</v>
      </c>
      <c r="E153" s="3" t="s">
        <v>328</v>
      </c>
    </row>
    <row r="154">
      <c r="A154" s="23">
        <v>45888.91846570602</v>
      </c>
      <c r="B154" s="3" t="s">
        <v>329</v>
      </c>
      <c r="C154" s="3" t="s">
        <v>343</v>
      </c>
      <c r="D154" s="3" t="s">
        <v>115</v>
      </c>
      <c r="E154" s="3" t="s">
        <v>328</v>
      </c>
    </row>
    <row r="155">
      <c r="A155" s="23">
        <v>45888.91849243056</v>
      </c>
      <c r="B155" s="3" t="s">
        <v>329</v>
      </c>
      <c r="C155" s="3" t="s">
        <v>366</v>
      </c>
      <c r="D155" s="3" t="s">
        <v>378</v>
      </c>
      <c r="E155" s="3" t="s">
        <v>328</v>
      </c>
    </row>
    <row r="156">
      <c r="A156" s="23">
        <v>45888.91850072917</v>
      </c>
      <c r="B156" s="3" t="s">
        <v>329</v>
      </c>
      <c r="C156" s="3" t="s">
        <v>368</v>
      </c>
      <c r="D156" s="3" t="s">
        <v>369</v>
      </c>
      <c r="E156" s="3" t="s">
        <v>328</v>
      </c>
    </row>
    <row r="157">
      <c r="A157" s="23">
        <v>45888.91854767362</v>
      </c>
      <c r="B157" s="3" t="s">
        <v>329</v>
      </c>
      <c r="C157" s="3" t="s">
        <v>370</v>
      </c>
      <c r="D157" s="3" t="s">
        <v>371</v>
      </c>
      <c r="E157" s="3" t="s">
        <v>328</v>
      </c>
    </row>
    <row r="158">
      <c r="A158" s="23">
        <v>45888.9185584375</v>
      </c>
      <c r="B158" s="3" t="s">
        <v>329</v>
      </c>
      <c r="C158" s="3" t="s">
        <v>362</v>
      </c>
      <c r="D158" s="3" t="s">
        <v>363</v>
      </c>
      <c r="E158" s="3" t="s">
        <v>328</v>
      </c>
    </row>
    <row r="159">
      <c r="A159" s="23">
        <v>45888.91858175926</v>
      </c>
      <c r="B159" s="3" t="s">
        <v>329</v>
      </c>
      <c r="C159" s="3" t="s">
        <v>373</v>
      </c>
      <c r="D159" s="3" t="s">
        <v>374</v>
      </c>
      <c r="E159" s="3" t="s">
        <v>328</v>
      </c>
    </row>
    <row r="160">
      <c r="A160" s="23">
        <v>45888.91859394676</v>
      </c>
      <c r="B160" s="3" t="s">
        <v>329</v>
      </c>
      <c r="C160" s="3" t="s">
        <v>381</v>
      </c>
      <c r="D160" s="3" t="s">
        <v>382</v>
      </c>
      <c r="E160" s="3" t="s">
        <v>328</v>
      </c>
    </row>
    <row r="161">
      <c r="A161" s="23">
        <v>45888.91859902778</v>
      </c>
      <c r="B161" s="3" t="s">
        <v>329</v>
      </c>
      <c r="C161" s="3" t="s">
        <v>379</v>
      </c>
      <c r="D161" s="3" t="s">
        <v>115</v>
      </c>
      <c r="E161" s="3" t="s">
        <v>328</v>
      </c>
    </row>
    <row r="162">
      <c r="A162" s="23">
        <v>45888.91860146991</v>
      </c>
      <c r="B162" s="3" t="s">
        <v>329</v>
      </c>
      <c r="C162" s="3" t="s">
        <v>376</v>
      </c>
      <c r="D162" s="3" t="s">
        <v>115</v>
      </c>
      <c r="E162" s="3" t="s">
        <v>328</v>
      </c>
    </row>
    <row r="163">
      <c r="A163" s="23">
        <v>45888.9186044213</v>
      </c>
      <c r="B163" s="3" t="s">
        <v>329</v>
      </c>
      <c r="C163" s="3" t="s">
        <v>345</v>
      </c>
      <c r="D163" s="3" t="s">
        <v>115</v>
      </c>
      <c r="E163" s="3" t="s">
        <v>328</v>
      </c>
    </row>
    <row r="164">
      <c r="A164" s="23">
        <v>45888.918616006944</v>
      </c>
      <c r="B164" s="3" t="s">
        <v>329</v>
      </c>
      <c r="C164" s="3" t="s">
        <v>346</v>
      </c>
      <c r="D164" s="3" t="s">
        <v>115</v>
      </c>
      <c r="E164" s="3" t="s">
        <v>328</v>
      </c>
    </row>
    <row r="165">
      <c r="A165" s="23">
        <v>45888.91861796296</v>
      </c>
      <c r="B165" s="3" t="s">
        <v>329</v>
      </c>
      <c r="C165" s="3" t="s">
        <v>347</v>
      </c>
      <c r="D165" s="3" t="s">
        <v>115</v>
      </c>
      <c r="E165" s="3" t="s">
        <v>328</v>
      </c>
    </row>
    <row r="166">
      <c r="A166" s="23">
        <v>45888.918630636574</v>
      </c>
      <c r="B166" s="3" t="s">
        <v>329</v>
      </c>
      <c r="C166" s="3" t="s">
        <v>380</v>
      </c>
      <c r="D166" s="3" t="s">
        <v>115</v>
      </c>
      <c r="E166" s="3" t="s">
        <v>328</v>
      </c>
    </row>
    <row r="167">
      <c r="A167" s="23">
        <v>45888.91863314815</v>
      </c>
      <c r="B167" s="3" t="s">
        <v>329</v>
      </c>
      <c r="C167" s="3" t="s">
        <v>349</v>
      </c>
      <c r="D167" s="3" t="s">
        <v>115</v>
      </c>
      <c r="E167" s="3" t="s">
        <v>328</v>
      </c>
    </row>
    <row r="168">
      <c r="A168" s="23">
        <v>45888.91867153935</v>
      </c>
      <c r="B168" s="3" t="s">
        <v>325</v>
      </c>
      <c r="C168" s="3" t="s">
        <v>350</v>
      </c>
      <c r="D168" s="3" t="s">
        <v>351</v>
      </c>
      <c r="E168" s="3" t="s">
        <v>328</v>
      </c>
    </row>
    <row r="169">
      <c r="A169" s="23">
        <v>45888.91867501158</v>
      </c>
      <c r="B169" s="3" t="s">
        <v>329</v>
      </c>
      <c r="C169" s="3" t="s">
        <v>352</v>
      </c>
      <c r="D169" s="3" t="s">
        <v>115</v>
      </c>
      <c r="E169" s="3" t="s">
        <v>328</v>
      </c>
    </row>
    <row r="170">
      <c r="A170" s="23">
        <v>45888.918694293985</v>
      </c>
      <c r="B170" s="3" t="s">
        <v>329</v>
      </c>
      <c r="C170" s="3" t="s">
        <v>353</v>
      </c>
      <c r="D170" s="3" t="s">
        <v>115</v>
      </c>
      <c r="E170" s="3" t="s">
        <v>328</v>
      </c>
    </row>
    <row r="171">
      <c r="A171" s="23">
        <v>45888.91869619213</v>
      </c>
      <c r="B171" s="3" t="s">
        <v>329</v>
      </c>
      <c r="C171" s="66" t="str">
        <f>== Finance automation process completed successfully in 32s ===</f>
        <v>#ERROR!</v>
      </c>
      <c r="D171" s="3" t="s">
        <v>115</v>
      </c>
      <c r="E171" s="3" t="s">
        <v>328</v>
      </c>
    </row>
    <row r="172">
      <c r="A172" s="23">
        <v>45888.91933510416</v>
      </c>
      <c r="B172" s="3" t="s">
        <v>329</v>
      </c>
      <c r="C172" s="66" t="str">
        <f>== Starting complete finance automation process ===</f>
        <v>#ERROR!</v>
      </c>
      <c r="D172" s="3" t="s">
        <v>115</v>
      </c>
      <c r="E172" s="3" t="s">
        <v>328</v>
      </c>
    </row>
    <row r="173">
      <c r="A173" s="23">
        <v>45888.919342106485</v>
      </c>
      <c r="B173" s="3" t="s">
        <v>329</v>
      </c>
      <c r="C173" s="3" t="s">
        <v>336</v>
      </c>
      <c r="D173" s="3" t="s">
        <v>115</v>
      </c>
      <c r="E173" s="3" t="s">
        <v>328</v>
      </c>
    </row>
    <row r="174">
      <c r="A174" s="23">
        <v>45888.91935646991</v>
      </c>
      <c r="B174" s="3" t="s">
        <v>329</v>
      </c>
      <c r="C174" s="3" t="s">
        <v>337</v>
      </c>
      <c r="D174" s="3" t="s">
        <v>115</v>
      </c>
      <c r="E174" s="3" t="s">
        <v>328</v>
      </c>
    </row>
    <row r="175">
      <c r="A175" s="23">
        <v>45888.919386180554</v>
      </c>
      <c r="B175" s="3" t="s">
        <v>329</v>
      </c>
      <c r="C175" s="3" t="s">
        <v>338</v>
      </c>
      <c r="D175" s="3" t="s">
        <v>339</v>
      </c>
      <c r="E175" s="3" t="s">
        <v>328</v>
      </c>
    </row>
    <row r="176">
      <c r="A176" s="23">
        <v>45888.91940466435</v>
      </c>
      <c r="B176" s="3" t="s">
        <v>329</v>
      </c>
      <c r="C176" s="3" t="s">
        <v>340</v>
      </c>
      <c r="D176" s="3" t="s">
        <v>115</v>
      </c>
      <c r="E176" s="3" t="s">
        <v>328</v>
      </c>
    </row>
    <row r="177">
      <c r="A177" s="23">
        <v>45888.91940809028</v>
      </c>
      <c r="B177" s="3" t="s">
        <v>329</v>
      </c>
      <c r="C177" s="3" t="s">
        <v>341</v>
      </c>
      <c r="D177" s="3" t="s">
        <v>115</v>
      </c>
      <c r="E177" s="3" t="s">
        <v>328</v>
      </c>
    </row>
    <row r="178">
      <c r="A178" s="23">
        <v>45888.91941259259</v>
      </c>
      <c r="B178" s="3" t="s">
        <v>329</v>
      </c>
      <c r="C178" s="3" t="s">
        <v>342</v>
      </c>
      <c r="D178" s="3" t="s">
        <v>115</v>
      </c>
      <c r="E178" s="3" t="s">
        <v>328</v>
      </c>
    </row>
    <row r="179">
      <c r="A179" s="23">
        <v>45888.91941510417</v>
      </c>
      <c r="B179" s="3" t="s">
        <v>329</v>
      </c>
      <c r="C179" s="3" t="s">
        <v>343</v>
      </c>
      <c r="D179" s="3" t="s">
        <v>115</v>
      </c>
      <c r="E179" s="3" t="s">
        <v>328</v>
      </c>
    </row>
    <row r="180">
      <c r="A180" s="23">
        <v>45888.919434282405</v>
      </c>
      <c r="B180" s="3" t="s">
        <v>329</v>
      </c>
      <c r="C180" s="3" t="s">
        <v>366</v>
      </c>
      <c r="D180" s="3" t="s">
        <v>378</v>
      </c>
      <c r="E180" s="3" t="s">
        <v>328</v>
      </c>
    </row>
    <row r="181">
      <c r="A181" s="23">
        <v>45888.91944239583</v>
      </c>
      <c r="B181" s="3" t="s">
        <v>329</v>
      </c>
      <c r="C181" s="3" t="s">
        <v>368</v>
      </c>
      <c r="D181" s="3" t="s">
        <v>369</v>
      </c>
      <c r="E181" s="3" t="s">
        <v>328</v>
      </c>
    </row>
    <row r="182">
      <c r="A182" s="23">
        <v>45888.91944986111</v>
      </c>
      <c r="B182" s="3" t="s">
        <v>329</v>
      </c>
      <c r="C182" s="3" t="s">
        <v>370</v>
      </c>
      <c r="D182" s="3" t="s">
        <v>371</v>
      </c>
      <c r="E182" s="3" t="s">
        <v>328</v>
      </c>
    </row>
    <row r="183">
      <c r="A183" s="23">
        <v>45888.91945952547</v>
      </c>
      <c r="B183" s="3" t="s">
        <v>329</v>
      </c>
      <c r="C183" s="3" t="s">
        <v>362</v>
      </c>
      <c r="D183" s="3" t="s">
        <v>363</v>
      </c>
      <c r="E183" s="3" t="s">
        <v>328</v>
      </c>
    </row>
    <row r="184">
      <c r="A184" s="23">
        <v>45888.91946607639</v>
      </c>
      <c r="B184" s="3" t="s">
        <v>329</v>
      </c>
      <c r="C184" s="3" t="s">
        <v>373</v>
      </c>
      <c r="D184" s="3" t="s">
        <v>374</v>
      </c>
      <c r="E184" s="3" t="s">
        <v>328</v>
      </c>
    </row>
    <row r="185">
      <c r="A185" s="23">
        <v>45888.919470567125</v>
      </c>
      <c r="B185" s="3" t="s">
        <v>329</v>
      </c>
      <c r="C185" s="3" t="s">
        <v>381</v>
      </c>
      <c r="D185" s="3" t="s">
        <v>382</v>
      </c>
      <c r="E185" s="3" t="s">
        <v>328</v>
      </c>
    </row>
    <row r="186">
      <c r="A186" s="23">
        <v>45888.91947547454</v>
      </c>
      <c r="B186" s="3" t="s">
        <v>329</v>
      </c>
      <c r="C186" s="3" t="s">
        <v>379</v>
      </c>
      <c r="D186" s="3" t="s">
        <v>115</v>
      </c>
      <c r="E186" s="3" t="s">
        <v>328</v>
      </c>
    </row>
    <row r="187">
      <c r="A187" s="23">
        <v>45888.91947736111</v>
      </c>
      <c r="B187" s="3" t="s">
        <v>329</v>
      </c>
      <c r="C187" s="3" t="s">
        <v>376</v>
      </c>
      <c r="D187" s="3" t="s">
        <v>115</v>
      </c>
      <c r="E187" s="3" t="s">
        <v>328</v>
      </c>
    </row>
    <row r="188">
      <c r="A188" s="23">
        <v>45888.91949850695</v>
      </c>
      <c r="B188" s="3" t="s">
        <v>329</v>
      </c>
      <c r="C188" s="3" t="s">
        <v>345</v>
      </c>
      <c r="D188" s="3" t="s">
        <v>115</v>
      </c>
      <c r="E188" s="3" t="s">
        <v>328</v>
      </c>
    </row>
    <row r="189">
      <c r="A189" s="23">
        <v>45888.91950388889</v>
      </c>
      <c r="B189" s="3" t="s">
        <v>329</v>
      </c>
      <c r="C189" s="3" t="s">
        <v>346</v>
      </c>
      <c r="D189" s="3" t="s">
        <v>115</v>
      </c>
      <c r="E189" s="3" t="s">
        <v>328</v>
      </c>
    </row>
    <row r="190">
      <c r="A190" s="23">
        <v>45888.91952678241</v>
      </c>
      <c r="B190" s="3" t="s">
        <v>329</v>
      </c>
      <c r="C190" s="3" t="s">
        <v>347</v>
      </c>
      <c r="D190" s="3" t="s">
        <v>115</v>
      </c>
      <c r="E190" s="3" t="s">
        <v>328</v>
      </c>
    </row>
    <row r="191">
      <c r="A191" s="23">
        <v>45888.919542222226</v>
      </c>
      <c r="B191" s="3" t="s">
        <v>329</v>
      </c>
      <c r="C191" s="3" t="s">
        <v>380</v>
      </c>
      <c r="D191" s="3" t="s">
        <v>115</v>
      </c>
      <c r="E191" s="3" t="s">
        <v>328</v>
      </c>
    </row>
    <row r="192">
      <c r="A192" s="23">
        <v>45888.91954658565</v>
      </c>
      <c r="B192" s="3" t="s">
        <v>329</v>
      </c>
      <c r="C192" s="3" t="s">
        <v>349</v>
      </c>
      <c r="D192" s="3" t="s">
        <v>115</v>
      </c>
      <c r="E192" s="3" t="s">
        <v>328</v>
      </c>
    </row>
    <row r="193">
      <c r="A193" s="23">
        <v>45888.91959310185</v>
      </c>
      <c r="B193" s="3" t="s">
        <v>325</v>
      </c>
      <c r="C193" s="3" t="s">
        <v>350</v>
      </c>
      <c r="D193" s="3" t="s">
        <v>351</v>
      </c>
      <c r="E193" s="3" t="s">
        <v>328</v>
      </c>
    </row>
    <row r="194">
      <c r="A194" s="23">
        <v>45888.91959568287</v>
      </c>
      <c r="B194" s="3" t="s">
        <v>329</v>
      </c>
      <c r="C194" s="3" t="s">
        <v>352</v>
      </c>
      <c r="D194" s="3" t="s">
        <v>115</v>
      </c>
      <c r="E194" s="3" t="s">
        <v>328</v>
      </c>
    </row>
    <row r="195">
      <c r="A195" s="23">
        <v>45888.91961186343</v>
      </c>
      <c r="B195" s="3" t="s">
        <v>329</v>
      </c>
      <c r="C195" s="3" t="s">
        <v>353</v>
      </c>
      <c r="D195" s="3" t="s">
        <v>115</v>
      </c>
      <c r="E195" s="3" t="s">
        <v>328</v>
      </c>
    </row>
    <row r="196">
      <c r="A196" s="23">
        <v>45888.91961405093</v>
      </c>
      <c r="B196" s="3" t="s">
        <v>329</v>
      </c>
      <c r="C196" s="66" t="str">
        <f>== Finance automation process completed successfully in 24s ===</f>
        <v>#ERROR!</v>
      </c>
      <c r="D196" s="3" t="s">
        <v>115</v>
      </c>
      <c r="E196" s="3" t="s">
        <v>328</v>
      </c>
    </row>
    <row r="197">
      <c r="A197" s="23">
        <v>45888.91972184028</v>
      </c>
      <c r="B197" s="3" t="s">
        <v>329</v>
      </c>
      <c r="C197" s="66" t="str">
        <f>== Starting complete finance automation process ===</f>
        <v>#ERROR!</v>
      </c>
      <c r="D197" s="3" t="s">
        <v>115</v>
      </c>
      <c r="E197" s="3" t="s">
        <v>328</v>
      </c>
    </row>
    <row r="198">
      <c r="A198" s="23">
        <v>45888.91974008102</v>
      </c>
      <c r="B198" s="3" t="s">
        <v>329</v>
      </c>
      <c r="C198" s="3" t="s">
        <v>336</v>
      </c>
      <c r="D198" s="3" t="s">
        <v>115</v>
      </c>
      <c r="E198" s="3" t="s">
        <v>328</v>
      </c>
    </row>
    <row r="199">
      <c r="A199" s="23">
        <v>45888.919757361116</v>
      </c>
      <c r="B199" s="3" t="s">
        <v>329</v>
      </c>
      <c r="C199" s="3" t="s">
        <v>337</v>
      </c>
      <c r="D199" s="3" t="s">
        <v>115</v>
      </c>
      <c r="E199" s="3" t="s">
        <v>328</v>
      </c>
    </row>
    <row r="200">
      <c r="A200" s="23">
        <v>45888.91980054398</v>
      </c>
      <c r="B200" s="3" t="s">
        <v>329</v>
      </c>
      <c r="C200" s="3" t="s">
        <v>338</v>
      </c>
      <c r="D200" s="3" t="s">
        <v>339</v>
      </c>
      <c r="E200" s="3" t="s">
        <v>328</v>
      </c>
    </row>
    <row r="201">
      <c r="A201" s="23">
        <v>45888.91980280093</v>
      </c>
      <c r="B201" s="3" t="s">
        <v>329</v>
      </c>
      <c r="C201" s="3" t="s">
        <v>340</v>
      </c>
      <c r="D201" s="3" t="s">
        <v>115</v>
      </c>
      <c r="E201" s="3" t="s">
        <v>328</v>
      </c>
    </row>
    <row r="202">
      <c r="A202" s="23">
        <v>45888.919806770835</v>
      </c>
      <c r="B202" s="3" t="s">
        <v>329</v>
      </c>
      <c r="C202" s="3" t="s">
        <v>341</v>
      </c>
      <c r="D202" s="3" t="s">
        <v>115</v>
      </c>
      <c r="E202" s="3" t="s">
        <v>328</v>
      </c>
    </row>
    <row r="203">
      <c r="A203" s="23">
        <v>45888.91981171296</v>
      </c>
      <c r="B203" s="3" t="s">
        <v>329</v>
      </c>
      <c r="C203" s="3" t="s">
        <v>342</v>
      </c>
      <c r="D203" s="3" t="s">
        <v>115</v>
      </c>
      <c r="E203" s="3" t="s">
        <v>328</v>
      </c>
    </row>
    <row r="204">
      <c r="A204" s="23">
        <v>45888.91981440972</v>
      </c>
      <c r="B204" s="3" t="s">
        <v>329</v>
      </c>
      <c r="C204" s="3" t="s">
        <v>343</v>
      </c>
      <c r="D204" s="3" t="s">
        <v>115</v>
      </c>
      <c r="E204" s="3" t="s">
        <v>328</v>
      </c>
    </row>
    <row r="205">
      <c r="A205" s="23">
        <v>45888.91982443287</v>
      </c>
      <c r="B205" s="3" t="s">
        <v>329</v>
      </c>
      <c r="C205" s="3" t="s">
        <v>366</v>
      </c>
      <c r="D205" s="3" t="s">
        <v>378</v>
      </c>
      <c r="E205" s="3" t="s">
        <v>328</v>
      </c>
    </row>
    <row r="206">
      <c r="A206" s="23">
        <v>45888.91983130787</v>
      </c>
      <c r="B206" s="3" t="s">
        <v>329</v>
      </c>
      <c r="C206" s="3" t="s">
        <v>368</v>
      </c>
      <c r="D206" s="3" t="s">
        <v>369</v>
      </c>
      <c r="E206" s="3" t="s">
        <v>328</v>
      </c>
    </row>
    <row r="207">
      <c r="A207" s="23">
        <v>45888.919838761576</v>
      </c>
      <c r="B207" s="3" t="s">
        <v>329</v>
      </c>
      <c r="C207" s="3" t="s">
        <v>370</v>
      </c>
      <c r="D207" s="3" t="s">
        <v>371</v>
      </c>
      <c r="E207" s="3" t="s">
        <v>328</v>
      </c>
    </row>
    <row r="208">
      <c r="A208" s="23">
        <v>45888.91984832176</v>
      </c>
      <c r="B208" s="3" t="s">
        <v>329</v>
      </c>
      <c r="C208" s="3" t="s">
        <v>362</v>
      </c>
      <c r="D208" s="3" t="s">
        <v>363</v>
      </c>
      <c r="E208" s="3" t="s">
        <v>328</v>
      </c>
    </row>
    <row r="209">
      <c r="A209" s="23">
        <v>45888.91985515047</v>
      </c>
      <c r="B209" s="3" t="s">
        <v>329</v>
      </c>
      <c r="C209" s="3" t="s">
        <v>373</v>
      </c>
      <c r="D209" s="3" t="s">
        <v>374</v>
      </c>
      <c r="E209" s="3" t="s">
        <v>328</v>
      </c>
    </row>
    <row r="210">
      <c r="A210" s="23">
        <v>45888.91986570602</v>
      </c>
      <c r="B210" s="3" t="s">
        <v>329</v>
      </c>
      <c r="C210" s="3" t="s">
        <v>383</v>
      </c>
      <c r="D210" s="3" t="s">
        <v>382</v>
      </c>
      <c r="E210" s="3" t="s">
        <v>328</v>
      </c>
    </row>
    <row r="211">
      <c r="A211" s="23">
        <v>45888.91987575231</v>
      </c>
      <c r="B211" s="3" t="s">
        <v>329</v>
      </c>
      <c r="C211" s="3" t="s">
        <v>379</v>
      </c>
      <c r="D211" s="3" t="s">
        <v>115</v>
      </c>
      <c r="E211" s="3" t="s">
        <v>328</v>
      </c>
    </row>
    <row r="212">
      <c r="A212" s="23">
        <v>45888.91987815972</v>
      </c>
      <c r="B212" s="3" t="s">
        <v>329</v>
      </c>
      <c r="C212" s="3" t="s">
        <v>376</v>
      </c>
      <c r="D212" s="3" t="s">
        <v>115</v>
      </c>
      <c r="E212" s="3" t="s">
        <v>328</v>
      </c>
    </row>
    <row r="213">
      <c r="A213" s="23">
        <v>45888.9198815625</v>
      </c>
      <c r="B213" s="3" t="s">
        <v>329</v>
      </c>
      <c r="C213" s="3" t="s">
        <v>345</v>
      </c>
      <c r="D213" s="3" t="s">
        <v>115</v>
      </c>
      <c r="E213" s="3" t="s">
        <v>328</v>
      </c>
    </row>
    <row r="214">
      <c r="A214" s="23">
        <v>45888.91992525463</v>
      </c>
      <c r="B214" s="3" t="s">
        <v>329</v>
      </c>
      <c r="C214" s="3" t="s">
        <v>346</v>
      </c>
      <c r="D214" s="3" t="s">
        <v>115</v>
      </c>
      <c r="E214" s="3" t="s">
        <v>328</v>
      </c>
    </row>
    <row r="215">
      <c r="A215" s="23">
        <v>45888.919927256946</v>
      </c>
      <c r="B215" s="3" t="s">
        <v>329</v>
      </c>
      <c r="C215" s="3" t="s">
        <v>347</v>
      </c>
      <c r="D215" s="3" t="s">
        <v>115</v>
      </c>
      <c r="E215" s="3" t="s">
        <v>328</v>
      </c>
    </row>
    <row r="216">
      <c r="A216" s="23">
        <v>45888.919936412036</v>
      </c>
      <c r="B216" s="3" t="s">
        <v>329</v>
      </c>
      <c r="C216" s="3" t="s">
        <v>380</v>
      </c>
      <c r="D216" s="3" t="s">
        <v>115</v>
      </c>
      <c r="E216" s="3" t="s">
        <v>328</v>
      </c>
    </row>
    <row r="217">
      <c r="A217" s="23">
        <v>45888.91993935185</v>
      </c>
      <c r="B217" s="3" t="s">
        <v>329</v>
      </c>
      <c r="C217" s="3" t="s">
        <v>349</v>
      </c>
      <c r="D217" s="3" t="s">
        <v>115</v>
      </c>
      <c r="E217" s="3" t="s">
        <v>328</v>
      </c>
    </row>
    <row r="218">
      <c r="A218" s="23">
        <v>45888.91996945602</v>
      </c>
      <c r="B218" s="3" t="s">
        <v>325</v>
      </c>
      <c r="C218" s="3" t="s">
        <v>350</v>
      </c>
      <c r="D218" s="3" t="s">
        <v>351</v>
      </c>
      <c r="E218" s="3" t="s">
        <v>328</v>
      </c>
    </row>
    <row r="219">
      <c r="A219" s="23">
        <v>45888.91997253472</v>
      </c>
      <c r="B219" s="3" t="s">
        <v>329</v>
      </c>
      <c r="C219" s="3" t="s">
        <v>352</v>
      </c>
      <c r="D219" s="3" t="s">
        <v>115</v>
      </c>
      <c r="E219" s="3" t="s">
        <v>328</v>
      </c>
    </row>
    <row r="220">
      <c r="A220" s="23">
        <v>45888.91998648148</v>
      </c>
      <c r="B220" s="3" t="s">
        <v>329</v>
      </c>
      <c r="C220" s="3" t="s">
        <v>353</v>
      </c>
      <c r="D220" s="3" t="s">
        <v>115</v>
      </c>
      <c r="E220" s="3" t="s">
        <v>328</v>
      </c>
    </row>
    <row r="221">
      <c r="A221" s="23">
        <v>45888.91998875</v>
      </c>
      <c r="B221" s="3" t="s">
        <v>329</v>
      </c>
      <c r="C221" s="66" t="str">
        <f>== Finance automation process completed successfully in 23s ===</f>
        <v>#ERROR!</v>
      </c>
      <c r="D221" s="3" t="s">
        <v>115</v>
      </c>
      <c r="E221" s="3" t="s">
        <v>328</v>
      </c>
    </row>
    <row r="222">
      <c r="A222" s="23">
        <v>45888.920339930555</v>
      </c>
      <c r="B222" s="3" t="s">
        <v>329</v>
      </c>
      <c r="C222" s="3" t="s">
        <v>366</v>
      </c>
      <c r="D222" s="3" t="s">
        <v>378</v>
      </c>
      <c r="E222" s="3" t="s">
        <v>328</v>
      </c>
    </row>
    <row r="223">
      <c r="A223" s="23">
        <v>45888.92034787037</v>
      </c>
      <c r="B223" s="3" t="s">
        <v>329</v>
      </c>
      <c r="C223" s="3" t="s">
        <v>368</v>
      </c>
      <c r="D223" s="3" t="s">
        <v>369</v>
      </c>
      <c r="E223" s="3" t="s">
        <v>328</v>
      </c>
    </row>
    <row r="224">
      <c r="A224" s="23">
        <v>45888.92035409722</v>
      </c>
      <c r="B224" s="3" t="s">
        <v>329</v>
      </c>
      <c r="C224" s="3" t="s">
        <v>370</v>
      </c>
      <c r="D224" s="3" t="s">
        <v>371</v>
      </c>
      <c r="E224" s="3" t="s">
        <v>328</v>
      </c>
    </row>
    <row r="225">
      <c r="A225" s="23">
        <v>45888.920357106486</v>
      </c>
      <c r="B225" s="3" t="s">
        <v>329</v>
      </c>
      <c r="C225" s="3" t="s">
        <v>384</v>
      </c>
      <c r="D225" s="3" t="s">
        <v>363</v>
      </c>
      <c r="E225" s="3" t="s">
        <v>328</v>
      </c>
    </row>
    <row r="226">
      <c r="A226" s="23">
        <v>45888.92036375</v>
      </c>
      <c r="B226" s="3" t="s">
        <v>329</v>
      </c>
      <c r="C226" s="3" t="s">
        <v>373</v>
      </c>
      <c r="D226" s="3" t="s">
        <v>374</v>
      </c>
      <c r="E226" s="3" t="s">
        <v>328</v>
      </c>
    </row>
    <row r="227">
      <c r="A227" s="23">
        <v>45888.92037128472</v>
      </c>
      <c r="B227" s="3" t="s">
        <v>329</v>
      </c>
      <c r="C227" s="3" t="s">
        <v>385</v>
      </c>
      <c r="D227" s="3" t="s">
        <v>382</v>
      </c>
      <c r="E227" s="3" t="s">
        <v>328</v>
      </c>
    </row>
    <row r="228">
      <c r="A228" s="23">
        <v>45888.92037861111</v>
      </c>
      <c r="B228" s="3" t="s">
        <v>329</v>
      </c>
      <c r="C228" s="3" t="s">
        <v>379</v>
      </c>
      <c r="D228" s="3" t="s">
        <v>115</v>
      </c>
      <c r="E228" s="3" t="s">
        <v>328</v>
      </c>
    </row>
    <row r="229">
      <c r="A229" s="23">
        <v>45888.92038094907</v>
      </c>
      <c r="B229" s="3" t="s">
        <v>329</v>
      </c>
      <c r="C229" s="3" t="s">
        <v>376</v>
      </c>
      <c r="D229" s="3" t="s">
        <v>115</v>
      </c>
      <c r="E229" s="3" t="s">
        <v>328</v>
      </c>
    </row>
    <row r="230">
      <c r="A230" s="23">
        <v>45888.92105456018</v>
      </c>
      <c r="B230" s="3" t="s">
        <v>329</v>
      </c>
      <c r="C230" s="66" t="str">
        <f>== Starting complete finance automation process ===</f>
        <v>#ERROR!</v>
      </c>
      <c r="D230" s="3" t="s">
        <v>115</v>
      </c>
      <c r="E230" s="3" t="s">
        <v>328</v>
      </c>
    </row>
    <row r="231">
      <c r="A231" s="23">
        <v>45888.92107210648</v>
      </c>
      <c r="B231" s="3" t="s">
        <v>329</v>
      </c>
      <c r="C231" s="3" t="s">
        <v>336</v>
      </c>
      <c r="D231" s="3" t="s">
        <v>115</v>
      </c>
      <c r="E231" s="3" t="s">
        <v>328</v>
      </c>
    </row>
    <row r="232">
      <c r="A232" s="23">
        <v>45888.92109186343</v>
      </c>
      <c r="B232" s="3" t="s">
        <v>329</v>
      </c>
      <c r="C232" s="3" t="s">
        <v>337</v>
      </c>
      <c r="D232" s="3" t="s">
        <v>115</v>
      </c>
      <c r="E232" s="3" t="s">
        <v>328</v>
      </c>
    </row>
    <row r="233">
      <c r="A233" s="23">
        <v>45888.921128368056</v>
      </c>
      <c r="B233" s="3" t="s">
        <v>329</v>
      </c>
      <c r="C233" s="3" t="s">
        <v>338</v>
      </c>
      <c r="D233" s="3" t="s">
        <v>339</v>
      </c>
      <c r="E233" s="3" t="s">
        <v>328</v>
      </c>
    </row>
    <row r="234">
      <c r="A234" s="23">
        <v>45888.921130532406</v>
      </c>
      <c r="B234" s="3" t="s">
        <v>329</v>
      </c>
      <c r="C234" s="3" t="s">
        <v>340</v>
      </c>
      <c r="D234" s="3" t="s">
        <v>115</v>
      </c>
      <c r="E234" s="3" t="s">
        <v>328</v>
      </c>
    </row>
    <row r="235">
      <c r="A235" s="23">
        <v>45888.921133553245</v>
      </c>
      <c r="B235" s="3" t="s">
        <v>329</v>
      </c>
      <c r="C235" s="3" t="s">
        <v>341</v>
      </c>
      <c r="D235" s="3" t="s">
        <v>115</v>
      </c>
      <c r="E235" s="3" t="s">
        <v>328</v>
      </c>
    </row>
    <row r="236">
      <c r="A236" s="23">
        <v>45888.9211409375</v>
      </c>
      <c r="B236" s="3" t="s">
        <v>329</v>
      </c>
      <c r="C236" s="3" t="s">
        <v>342</v>
      </c>
      <c r="D236" s="3" t="s">
        <v>115</v>
      </c>
      <c r="E236" s="3" t="s">
        <v>328</v>
      </c>
    </row>
    <row r="237">
      <c r="A237" s="23">
        <v>45888.92114309028</v>
      </c>
      <c r="B237" s="3" t="s">
        <v>329</v>
      </c>
      <c r="C237" s="3" t="s">
        <v>343</v>
      </c>
      <c r="D237" s="3" t="s">
        <v>115</v>
      </c>
      <c r="E237" s="3" t="s">
        <v>328</v>
      </c>
    </row>
    <row r="238">
      <c r="A238" s="23">
        <v>45888.92115115741</v>
      </c>
      <c r="B238" s="3" t="s">
        <v>329</v>
      </c>
      <c r="C238" s="3" t="s">
        <v>366</v>
      </c>
      <c r="D238" s="3" t="s">
        <v>378</v>
      </c>
      <c r="E238" s="3" t="s">
        <v>328</v>
      </c>
    </row>
    <row r="239">
      <c r="A239" s="23">
        <v>45888.92115686343</v>
      </c>
      <c r="B239" s="3" t="s">
        <v>329</v>
      </c>
      <c r="C239" s="3" t="s">
        <v>368</v>
      </c>
      <c r="D239" s="3" t="s">
        <v>369</v>
      </c>
      <c r="E239" s="3" t="s">
        <v>328</v>
      </c>
    </row>
    <row r="240">
      <c r="A240" s="23">
        <v>45888.92116372685</v>
      </c>
      <c r="B240" s="3" t="s">
        <v>329</v>
      </c>
      <c r="C240" s="3" t="s">
        <v>370</v>
      </c>
      <c r="D240" s="3" t="s">
        <v>371</v>
      </c>
      <c r="E240" s="3" t="s">
        <v>328</v>
      </c>
    </row>
    <row r="241">
      <c r="A241" s="23">
        <v>45888.921180613426</v>
      </c>
      <c r="B241" s="3" t="s">
        <v>329</v>
      </c>
      <c r="C241" s="3" t="s">
        <v>384</v>
      </c>
      <c r="D241" s="3" t="s">
        <v>363</v>
      </c>
      <c r="E241" s="3" t="s">
        <v>328</v>
      </c>
    </row>
    <row r="242">
      <c r="A242" s="23">
        <v>45888.9211903588</v>
      </c>
      <c r="B242" s="3" t="s">
        <v>329</v>
      </c>
      <c r="C242" s="3" t="s">
        <v>373</v>
      </c>
      <c r="D242" s="3" t="s">
        <v>374</v>
      </c>
      <c r="E242" s="3" t="s">
        <v>328</v>
      </c>
    </row>
    <row r="243">
      <c r="A243" s="23">
        <v>45888.92120324074</v>
      </c>
      <c r="B243" s="3" t="s">
        <v>329</v>
      </c>
      <c r="C243" s="3" t="s">
        <v>385</v>
      </c>
      <c r="D243" s="3" t="s">
        <v>382</v>
      </c>
      <c r="E243" s="3" t="s">
        <v>328</v>
      </c>
    </row>
    <row r="244">
      <c r="A244" s="23">
        <v>45888.92123782408</v>
      </c>
      <c r="B244" s="3" t="s">
        <v>329</v>
      </c>
      <c r="C244" s="3" t="s">
        <v>379</v>
      </c>
      <c r="D244" s="3" t="s">
        <v>115</v>
      </c>
      <c r="E244" s="3" t="s">
        <v>328</v>
      </c>
    </row>
    <row r="245">
      <c r="A245" s="23">
        <v>45888.92124019676</v>
      </c>
      <c r="B245" s="3" t="s">
        <v>329</v>
      </c>
      <c r="C245" s="3" t="s">
        <v>376</v>
      </c>
      <c r="D245" s="3" t="s">
        <v>115</v>
      </c>
      <c r="E245" s="3" t="s">
        <v>328</v>
      </c>
    </row>
    <row r="246">
      <c r="A246" s="23">
        <v>45888.92124260416</v>
      </c>
      <c r="B246" s="3" t="s">
        <v>329</v>
      </c>
      <c r="C246" s="3" t="s">
        <v>345</v>
      </c>
      <c r="D246" s="3" t="s">
        <v>115</v>
      </c>
      <c r="E246" s="3" t="s">
        <v>328</v>
      </c>
    </row>
    <row r="247">
      <c r="A247" s="23">
        <v>45888.92125287037</v>
      </c>
      <c r="B247" s="3" t="s">
        <v>329</v>
      </c>
      <c r="C247" s="3" t="s">
        <v>346</v>
      </c>
      <c r="D247" s="3" t="s">
        <v>115</v>
      </c>
      <c r="E247" s="3" t="s">
        <v>328</v>
      </c>
    </row>
    <row r="248">
      <c r="A248" s="23">
        <v>45888.92125724537</v>
      </c>
      <c r="B248" s="3" t="s">
        <v>329</v>
      </c>
      <c r="C248" s="3" t="s">
        <v>347</v>
      </c>
      <c r="D248" s="3" t="s">
        <v>115</v>
      </c>
      <c r="E248" s="3" t="s">
        <v>328</v>
      </c>
    </row>
    <row r="249">
      <c r="A249" s="23">
        <v>45888.92126887731</v>
      </c>
      <c r="B249" s="3" t="s">
        <v>329</v>
      </c>
      <c r="C249" s="3" t="s">
        <v>380</v>
      </c>
      <c r="D249" s="3" t="s">
        <v>115</v>
      </c>
      <c r="E249" s="3" t="s">
        <v>328</v>
      </c>
    </row>
    <row r="250">
      <c r="A250" s="23">
        <v>45888.9212741088</v>
      </c>
      <c r="B250" s="3" t="s">
        <v>329</v>
      </c>
      <c r="C250" s="3" t="s">
        <v>349</v>
      </c>
      <c r="D250" s="3" t="s">
        <v>115</v>
      </c>
      <c r="E250" s="3" t="s">
        <v>328</v>
      </c>
    </row>
    <row r="251">
      <c r="A251" s="23">
        <v>45888.9213378125</v>
      </c>
      <c r="B251" s="3" t="s">
        <v>325</v>
      </c>
      <c r="C251" s="3" t="s">
        <v>350</v>
      </c>
      <c r="D251" s="3" t="s">
        <v>351</v>
      </c>
      <c r="E251" s="3" t="s">
        <v>328</v>
      </c>
    </row>
    <row r="252">
      <c r="A252" s="23">
        <v>45888.921340810186</v>
      </c>
      <c r="B252" s="3" t="s">
        <v>329</v>
      </c>
      <c r="C252" s="3" t="s">
        <v>352</v>
      </c>
      <c r="D252" s="3" t="s">
        <v>115</v>
      </c>
      <c r="E252" s="3" t="s">
        <v>328</v>
      </c>
    </row>
    <row r="253">
      <c r="A253" s="23">
        <v>45888.92135766204</v>
      </c>
      <c r="B253" s="3" t="s">
        <v>329</v>
      </c>
      <c r="C253" s="3" t="s">
        <v>353</v>
      </c>
      <c r="D253" s="3" t="s">
        <v>115</v>
      </c>
      <c r="E253" s="3" t="s">
        <v>328</v>
      </c>
    </row>
    <row r="254">
      <c r="A254" s="23">
        <v>45888.921359513886</v>
      </c>
      <c r="B254" s="3" t="s">
        <v>329</v>
      </c>
      <c r="C254" s="66" t="str">
        <f>== Finance automation process completed successfully in 26s ===</f>
        <v>#ERROR!</v>
      </c>
      <c r="D254" s="3" t="s">
        <v>115</v>
      </c>
      <c r="E254" s="3" t="s">
        <v>328</v>
      </c>
    </row>
    <row r="255">
      <c r="A255" s="23">
        <v>45888.921696006946</v>
      </c>
      <c r="B255" s="3" t="s">
        <v>329</v>
      </c>
      <c r="C255" s="66" t="str">
        <f>== Starting complete finance automation process ===</f>
        <v>#ERROR!</v>
      </c>
      <c r="D255" s="3" t="s">
        <v>115</v>
      </c>
      <c r="E255" s="3" t="s">
        <v>328</v>
      </c>
    </row>
    <row r="256">
      <c r="A256" s="23">
        <v>45888.921705416666</v>
      </c>
      <c r="B256" s="3" t="s">
        <v>329</v>
      </c>
      <c r="C256" s="3" t="s">
        <v>336</v>
      </c>
      <c r="D256" s="3" t="s">
        <v>115</v>
      </c>
      <c r="E256" s="3" t="s">
        <v>328</v>
      </c>
    </row>
    <row r="257">
      <c r="A257" s="23">
        <v>45888.921741620376</v>
      </c>
      <c r="B257" s="3" t="s">
        <v>329</v>
      </c>
      <c r="C257" s="3" t="s">
        <v>337</v>
      </c>
      <c r="D257" s="3" t="s">
        <v>115</v>
      </c>
      <c r="E257" s="3" t="s">
        <v>328</v>
      </c>
    </row>
    <row r="258">
      <c r="A258" s="23">
        <v>45888.92177560185</v>
      </c>
      <c r="B258" s="3" t="s">
        <v>329</v>
      </c>
      <c r="C258" s="3" t="s">
        <v>338</v>
      </c>
      <c r="D258" s="3" t="s">
        <v>339</v>
      </c>
      <c r="E258" s="3" t="s">
        <v>328</v>
      </c>
    </row>
    <row r="259">
      <c r="A259" s="23">
        <v>45888.92179487269</v>
      </c>
      <c r="B259" s="3" t="s">
        <v>329</v>
      </c>
      <c r="C259" s="3" t="s">
        <v>340</v>
      </c>
      <c r="D259" s="3" t="s">
        <v>115</v>
      </c>
      <c r="E259" s="3" t="s">
        <v>328</v>
      </c>
    </row>
    <row r="260">
      <c r="A260" s="23">
        <v>45888.92179768519</v>
      </c>
      <c r="B260" s="3" t="s">
        <v>329</v>
      </c>
      <c r="C260" s="3" t="s">
        <v>341</v>
      </c>
      <c r="D260" s="3" t="s">
        <v>115</v>
      </c>
      <c r="E260" s="3" t="s">
        <v>328</v>
      </c>
    </row>
    <row r="261">
      <c r="A261" s="23">
        <v>45888.921801585646</v>
      </c>
      <c r="B261" s="3" t="s">
        <v>329</v>
      </c>
      <c r="C261" s="3" t="s">
        <v>342</v>
      </c>
      <c r="D261" s="3" t="s">
        <v>115</v>
      </c>
      <c r="E261" s="3" t="s">
        <v>328</v>
      </c>
    </row>
    <row r="262">
      <c r="A262" s="23">
        <v>45888.921836458336</v>
      </c>
      <c r="B262" s="3" t="s">
        <v>329</v>
      </c>
      <c r="C262" s="3" t="s">
        <v>343</v>
      </c>
      <c r="D262" s="3" t="s">
        <v>115</v>
      </c>
      <c r="E262" s="3" t="s">
        <v>328</v>
      </c>
    </row>
    <row r="263">
      <c r="A263" s="23">
        <v>45888.92184509259</v>
      </c>
      <c r="B263" s="3" t="s">
        <v>329</v>
      </c>
      <c r="C263" s="3" t="s">
        <v>366</v>
      </c>
      <c r="D263" s="3" t="s">
        <v>378</v>
      </c>
      <c r="E263" s="3" t="s">
        <v>328</v>
      </c>
    </row>
    <row r="264">
      <c r="A264" s="23">
        <v>45888.92186649305</v>
      </c>
      <c r="B264" s="3" t="s">
        <v>329</v>
      </c>
      <c r="C264" s="3" t="s">
        <v>368</v>
      </c>
      <c r="D264" s="3" t="s">
        <v>369</v>
      </c>
      <c r="E264" s="3" t="s">
        <v>328</v>
      </c>
    </row>
    <row r="265">
      <c r="A265" s="23">
        <v>45888.92187391204</v>
      </c>
      <c r="B265" s="3" t="s">
        <v>329</v>
      </c>
      <c r="C265" s="3" t="s">
        <v>370</v>
      </c>
      <c r="D265" s="3" t="s">
        <v>371</v>
      </c>
      <c r="E265" s="3" t="s">
        <v>328</v>
      </c>
    </row>
    <row r="266">
      <c r="A266" s="23">
        <v>45888.92188498843</v>
      </c>
      <c r="B266" s="3" t="s">
        <v>329</v>
      </c>
      <c r="C266" s="3" t="s">
        <v>386</v>
      </c>
      <c r="D266" s="3" t="s">
        <v>363</v>
      </c>
      <c r="E266" s="3" t="s">
        <v>328</v>
      </c>
    </row>
    <row r="267">
      <c r="A267" s="23">
        <v>45888.921891817125</v>
      </c>
      <c r="B267" s="3" t="s">
        <v>329</v>
      </c>
      <c r="C267" s="3" t="s">
        <v>373</v>
      </c>
      <c r="D267" s="3" t="s">
        <v>374</v>
      </c>
      <c r="E267" s="3" t="s">
        <v>328</v>
      </c>
    </row>
    <row r="268">
      <c r="A268" s="23">
        <v>45888.92190903935</v>
      </c>
      <c r="B268" s="3" t="s">
        <v>329</v>
      </c>
      <c r="C268" s="3" t="s">
        <v>385</v>
      </c>
      <c r="D268" s="3" t="s">
        <v>382</v>
      </c>
      <c r="E268" s="3" t="s">
        <v>328</v>
      </c>
    </row>
    <row r="269">
      <c r="A269" s="23">
        <v>45888.921914652776</v>
      </c>
      <c r="B269" s="3" t="s">
        <v>329</v>
      </c>
      <c r="C269" s="3" t="s">
        <v>379</v>
      </c>
      <c r="D269" s="3" t="s">
        <v>115</v>
      </c>
      <c r="E269" s="3" t="s">
        <v>328</v>
      </c>
    </row>
    <row r="270">
      <c r="A270" s="23">
        <v>45888.92191667824</v>
      </c>
      <c r="B270" s="3" t="s">
        <v>329</v>
      </c>
      <c r="C270" s="3" t="s">
        <v>376</v>
      </c>
      <c r="D270" s="3" t="s">
        <v>115</v>
      </c>
      <c r="E270" s="3" t="s">
        <v>328</v>
      </c>
    </row>
    <row r="271">
      <c r="A271" s="23">
        <v>45888.92191895834</v>
      </c>
      <c r="B271" s="3" t="s">
        <v>329</v>
      </c>
      <c r="C271" s="3" t="s">
        <v>345</v>
      </c>
      <c r="D271" s="3" t="s">
        <v>115</v>
      </c>
      <c r="E271" s="3" t="s">
        <v>328</v>
      </c>
    </row>
    <row r="272">
      <c r="A272" s="23">
        <v>45888.921924571754</v>
      </c>
      <c r="B272" s="3" t="s">
        <v>329</v>
      </c>
      <c r="C272" s="3" t="s">
        <v>346</v>
      </c>
      <c r="D272" s="3" t="s">
        <v>115</v>
      </c>
      <c r="E272" s="3" t="s">
        <v>328</v>
      </c>
    </row>
    <row r="273">
      <c r="A273" s="23">
        <v>45888.92192707176</v>
      </c>
      <c r="B273" s="3" t="s">
        <v>329</v>
      </c>
      <c r="C273" s="3" t="s">
        <v>347</v>
      </c>
      <c r="D273" s="3" t="s">
        <v>115</v>
      </c>
      <c r="E273" s="3" t="s">
        <v>328</v>
      </c>
    </row>
    <row r="274">
      <c r="A274" s="23">
        <v>45888.92193679398</v>
      </c>
      <c r="B274" s="3" t="s">
        <v>329</v>
      </c>
      <c r="C274" s="3" t="s">
        <v>380</v>
      </c>
      <c r="D274" s="3" t="s">
        <v>115</v>
      </c>
      <c r="E274" s="3" t="s">
        <v>328</v>
      </c>
    </row>
    <row r="275">
      <c r="A275" s="23">
        <v>45888.92193895833</v>
      </c>
      <c r="B275" s="3" t="s">
        <v>329</v>
      </c>
      <c r="C275" s="3" t="s">
        <v>349</v>
      </c>
      <c r="D275" s="3" t="s">
        <v>115</v>
      </c>
      <c r="E275" s="3" t="s">
        <v>328</v>
      </c>
    </row>
    <row r="276">
      <c r="A276" s="23">
        <v>45888.92200127315</v>
      </c>
      <c r="B276" s="3" t="s">
        <v>325</v>
      </c>
      <c r="C276" s="3" t="s">
        <v>350</v>
      </c>
      <c r="D276" s="3" t="s">
        <v>351</v>
      </c>
      <c r="E276" s="3" t="s">
        <v>328</v>
      </c>
    </row>
    <row r="277">
      <c r="A277" s="23">
        <v>45888.92200835649</v>
      </c>
      <c r="B277" s="3" t="s">
        <v>329</v>
      </c>
      <c r="C277" s="3" t="s">
        <v>352</v>
      </c>
      <c r="D277" s="3" t="s">
        <v>115</v>
      </c>
      <c r="E277" s="3" t="s">
        <v>328</v>
      </c>
    </row>
    <row r="278">
      <c r="A278" s="23">
        <v>45888.92202784722</v>
      </c>
      <c r="B278" s="3" t="s">
        <v>329</v>
      </c>
      <c r="C278" s="3" t="s">
        <v>353</v>
      </c>
      <c r="D278" s="3" t="s">
        <v>115</v>
      </c>
      <c r="E278" s="3" t="s">
        <v>328</v>
      </c>
    </row>
    <row r="279">
      <c r="A279" s="23">
        <v>45888.922029803245</v>
      </c>
      <c r="B279" s="3" t="s">
        <v>329</v>
      </c>
      <c r="C279" s="66" t="str">
        <f>== Finance automation process completed successfully in 29s ===</f>
        <v>#ERROR!</v>
      </c>
      <c r="D279" s="3" t="s">
        <v>115</v>
      </c>
      <c r="E279" s="3" t="s">
        <v>328</v>
      </c>
    </row>
    <row r="280">
      <c r="A280" s="23">
        <v>45888.92471737268</v>
      </c>
      <c r="B280" s="3" t="s">
        <v>329</v>
      </c>
      <c r="C280" s="3" t="s">
        <v>333</v>
      </c>
      <c r="D280" s="3" t="s">
        <v>334</v>
      </c>
      <c r="E280" s="3" t="s">
        <v>328</v>
      </c>
    </row>
    <row r="281">
      <c r="A281" s="23">
        <v>45888.92604387732</v>
      </c>
      <c r="B281" s="3" t="s">
        <v>329</v>
      </c>
      <c r="C281" s="3" t="s">
        <v>335</v>
      </c>
      <c r="D281" s="3" t="s">
        <v>115</v>
      </c>
      <c r="E281" s="3" t="s">
        <v>328</v>
      </c>
    </row>
    <row r="282">
      <c r="A282" s="23">
        <v>45888.998085127314</v>
      </c>
      <c r="B282" s="3" t="s">
        <v>329</v>
      </c>
      <c r="C282" s="3" t="s">
        <v>335</v>
      </c>
      <c r="D282" s="3" t="s">
        <v>115</v>
      </c>
      <c r="E282" s="3" t="s">
        <v>328</v>
      </c>
    </row>
    <row r="283">
      <c r="A283" s="23">
        <v>45889.00931659722</v>
      </c>
      <c r="B283" s="3" t="s">
        <v>329</v>
      </c>
      <c r="C283" s="3" t="s">
        <v>335</v>
      </c>
      <c r="D283" s="3" t="s">
        <v>115</v>
      </c>
      <c r="E283" s="3" t="s">
        <v>328</v>
      </c>
    </row>
    <row r="284">
      <c r="A284" s="23">
        <v>45889.00954017361</v>
      </c>
      <c r="B284" s="3" t="s">
        <v>329</v>
      </c>
      <c r="C284" s="3" t="s">
        <v>335</v>
      </c>
      <c r="D284" s="3" t="s">
        <v>115</v>
      </c>
      <c r="E284" s="3" t="s">
        <v>328</v>
      </c>
    </row>
    <row r="285">
      <c r="A285" s="23">
        <v>45889.01322386574</v>
      </c>
      <c r="B285" s="3" t="s">
        <v>329</v>
      </c>
      <c r="C285" s="3" t="s">
        <v>366</v>
      </c>
      <c r="D285" s="3" t="s">
        <v>378</v>
      </c>
      <c r="E285" s="3" t="s">
        <v>328</v>
      </c>
    </row>
    <row r="286">
      <c r="A286" s="23">
        <v>45889.01323098379</v>
      </c>
      <c r="B286" s="3" t="s">
        <v>329</v>
      </c>
      <c r="C286" s="3" t="s">
        <v>368</v>
      </c>
      <c r="D286" s="3" t="s">
        <v>369</v>
      </c>
      <c r="E286" s="3" t="s">
        <v>328</v>
      </c>
    </row>
    <row r="287">
      <c r="A287" s="23">
        <v>45889.01324482639</v>
      </c>
      <c r="B287" s="3" t="s">
        <v>329</v>
      </c>
      <c r="C287" s="3" t="s">
        <v>370</v>
      </c>
      <c r="D287" s="3" t="s">
        <v>371</v>
      </c>
      <c r="E287" s="3" t="s">
        <v>328</v>
      </c>
    </row>
    <row r="288">
      <c r="A288" s="23">
        <v>45889.013256631944</v>
      </c>
      <c r="B288" s="3" t="s">
        <v>329</v>
      </c>
      <c r="C288" s="3" t="s">
        <v>386</v>
      </c>
      <c r="D288" s="3" t="s">
        <v>363</v>
      </c>
      <c r="E288" s="3" t="s">
        <v>328</v>
      </c>
    </row>
    <row r="289">
      <c r="A289" s="23">
        <v>45889.01326334491</v>
      </c>
      <c r="B289" s="3" t="s">
        <v>329</v>
      </c>
      <c r="C289" s="3" t="s">
        <v>373</v>
      </c>
      <c r="D289" s="3" t="s">
        <v>374</v>
      </c>
      <c r="E289" s="3" t="s">
        <v>328</v>
      </c>
    </row>
    <row r="290">
      <c r="A290" s="23">
        <v>45889.01327548611</v>
      </c>
      <c r="B290" s="3" t="s">
        <v>329</v>
      </c>
      <c r="C290" s="3" t="s">
        <v>387</v>
      </c>
      <c r="D290" s="3" t="s">
        <v>388</v>
      </c>
      <c r="E290" s="3" t="s">
        <v>328</v>
      </c>
    </row>
    <row r="291">
      <c r="A291" s="23">
        <v>45889.013285497684</v>
      </c>
      <c r="B291" s="3" t="s">
        <v>329</v>
      </c>
      <c r="C291" s="3" t="s">
        <v>389</v>
      </c>
      <c r="D291" s="3" t="s">
        <v>390</v>
      </c>
      <c r="E291" s="3" t="s">
        <v>328</v>
      </c>
    </row>
    <row r="292">
      <c r="A292" s="23">
        <v>45889.01329170139</v>
      </c>
      <c r="B292" s="3" t="s">
        <v>329</v>
      </c>
      <c r="C292" s="3" t="s">
        <v>379</v>
      </c>
      <c r="D292" s="3" t="s">
        <v>115</v>
      </c>
      <c r="E292" s="3" t="s">
        <v>328</v>
      </c>
    </row>
    <row r="293">
      <c r="A293" s="23">
        <v>45889.01329596065</v>
      </c>
      <c r="B293" s="3" t="s">
        <v>329</v>
      </c>
      <c r="C293" s="3" t="s">
        <v>391</v>
      </c>
      <c r="D293" s="3" t="s">
        <v>115</v>
      </c>
      <c r="E293" s="3" t="s">
        <v>328</v>
      </c>
    </row>
    <row r="294">
      <c r="A294" s="23">
        <v>45889.01329819445</v>
      </c>
      <c r="B294" s="3" t="s">
        <v>329</v>
      </c>
      <c r="C294" s="3" t="s">
        <v>392</v>
      </c>
      <c r="D294" s="3" t="s">
        <v>115</v>
      </c>
      <c r="E294" s="3" t="s">
        <v>328</v>
      </c>
    </row>
    <row r="295">
      <c r="A295" s="23">
        <v>45889.43703119213</v>
      </c>
      <c r="B295" s="3" t="s">
        <v>329</v>
      </c>
      <c r="C295" s="3" t="s">
        <v>335</v>
      </c>
      <c r="D295" s="3" t="s">
        <v>115</v>
      </c>
      <c r="E295" s="3" t="s">
        <v>328</v>
      </c>
    </row>
    <row r="296">
      <c r="A296" s="23">
        <v>45889.438271921295</v>
      </c>
      <c r="B296" s="3" t="s">
        <v>325</v>
      </c>
      <c r="C296" s="3" t="s">
        <v>350</v>
      </c>
      <c r="D296" s="3" t="s">
        <v>351</v>
      </c>
      <c r="E296" s="3" t="s">
        <v>328</v>
      </c>
    </row>
    <row r="297">
      <c r="A297" s="23">
        <v>45889.43886840278</v>
      </c>
      <c r="B297" s="3" t="s">
        <v>329</v>
      </c>
      <c r="C297" s="66" t="str">
        <f>== Starting complete finance automation process ===</f>
        <v>#ERROR!</v>
      </c>
      <c r="D297" s="3" t="s">
        <v>115</v>
      </c>
      <c r="E297" s="3" t="s">
        <v>328</v>
      </c>
    </row>
    <row r="298">
      <c r="A298" s="23">
        <v>45889.43887770834</v>
      </c>
      <c r="B298" s="3" t="s">
        <v>329</v>
      </c>
      <c r="C298" s="3" t="s">
        <v>336</v>
      </c>
      <c r="D298" s="3" t="s">
        <v>115</v>
      </c>
      <c r="E298" s="3" t="s">
        <v>328</v>
      </c>
    </row>
    <row r="299">
      <c r="A299" s="23">
        <v>45889.438895706015</v>
      </c>
      <c r="B299" s="3" t="s">
        <v>329</v>
      </c>
      <c r="C299" s="3" t="s">
        <v>393</v>
      </c>
      <c r="D299" s="3" t="s">
        <v>115</v>
      </c>
      <c r="E299" s="3" t="s">
        <v>328</v>
      </c>
    </row>
    <row r="300">
      <c r="A300" s="23">
        <v>45889.43892748843</v>
      </c>
      <c r="B300" s="3" t="s">
        <v>329</v>
      </c>
      <c r="C300" s="3" t="s">
        <v>338</v>
      </c>
      <c r="D300" s="3" t="s">
        <v>339</v>
      </c>
      <c r="E300" s="3" t="s">
        <v>328</v>
      </c>
    </row>
    <row r="301">
      <c r="A301" s="23">
        <v>45889.43892954861</v>
      </c>
      <c r="B301" s="3" t="s">
        <v>329</v>
      </c>
      <c r="C301" s="3" t="s">
        <v>340</v>
      </c>
      <c r="D301" s="3" t="s">
        <v>115</v>
      </c>
      <c r="E301" s="3" t="s">
        <v>328</v>
      </c>
    </row>
    <row r="302">
      <c r="A302" s="23">
        <v>45889.43893212963</v>
      </c>
      <c r="B302" s="3" t="s">
        <v>329</v>
      </c>
      <c r="C302" s="3" t="s">
        <v>341</v>
      </c>
      <c r="D302" s="3" t="s">
        <v>115</v>
      </c>
      <c r="E302" s="3" t="s">
        <v>328</v>
      </c>
    </row>
    <row r="303">
      <c r="A303" s="23">
        <v>45889.438934826394</v>
      </c>
      <c r="B303" s="3" t="s">
        <v>329</v>
      </c>
      <c r="C303" s="3" t="s">
        <v>342</v>
      </c>
      <c r="D303" s="3" t="s">
        <v>115</v>
      </c>
      <c r="E303" s="3" t="s">
        <v>328</v>
      </c>
    </row>
    <row r="304">
      <c r="A304" s="23">
        <v>45889.438936782404</v>
      </c>
      <c r="B304" s="3" t="s">
        <v>329</v>
      </c>
      <c r="C304" s="3" t="s">
        <v>343</v>
      </c>
      <c r="D304" s="3" t="s">
        <v>115</v>
      </c>
      <c r="E304" s="3" t="s">
        <v>328</v>
      </c>
    </row>
    <row r="305">
      <c r="A305" s="23">
        <v>45889.43894449074</v>
      </c>
      <c r="B305" s="3" t="s">
        <v>329</v>
      </c>
      <c r="C305" s="3" t="s">
        <v>366</v>
      </c>
      <c r="D305" s="3" t="s">
        <v>394</v>
      </c>
      <c r="E305" s="3" t="s">
        <v>328</v>
      </c>
    </row>
    <row r="306">
      <c r="A306" s="23">
        <v>45889.438951018514</v>
      </c>
      <c r="B306" s="3" t="s">
        <v>329</v>
      </c>
      <c r="C306" s="3" t="s">
        <v>368</v>
      </c>
      <c r="D306" s="3" t="s">
        <v>369</v>
      </c>
      <c r="E306" s="3" t="s">
        <v>328</v>
      </c>
    </row>
    <row r="307">
      <c r="A307" s="23">
        <v>45889.4389584375</v>
      </c>
      <c r="B307" s="3" t="s">
        <v>329</v>
      </c>
      <c r="C307" s="3" t="s">
        <v>370</v>
      </c>
      <c r="D307" s="3" t="s">
        <v>395</v>
      </c>
      <c r="E307" s="3" t="s">
        <v>328</v>
      </c>
    </row>
    <row r="308">
      <c r="A308" s="23">
        <v>45889.4389662037</v>
      </c>
      <c r="B308" s="3" t="s">
        <v>329</v>
      </c>
      <c r="C308" s="3" t="s">
        <v>386</v>
      </c>
      <c r="D308" s="3" t="s">
        <v>363</v>
      </c>
      <c r="E308" s="3" t="s">
        <v>328</v>
      </c>
    </row>
    <row r="309">
      <c r="A309" s="23">
        <v>45889.43897202546</v>
      </c>
      <c r="B309" s="3" t="s">
        <v>329</v>
      </c>
      <c r="C309" s="3" t="s">
        <v>373</v>
      </c>
      <c r="D309" s="3" t="s">
        <v>396</v>
      </c>
      <c r="E309" s="3" t="s">
        <v>328</v>
      </c>
    </row>
    <row r="310">
      <c r="A310" s="23">
        <v>45889.43898127315</v>
      </c>
      <c r="B310" s="3" t="s">
        <v>329</v>
      </c>
      <c r="C310" s="3" t="s">
        <v>387</v>
      </c>
      <c r="D310" s="3" t="s">
        <v>397</v>
      </c>
      <c r="E310" s="3" t="s">
        <v>328</v>
      </c>
    </row>
    <row r="311">
      <c r="A311" s="23">
        <v>45889.43899601852</v>
      </c>
      <c r="B311" s="3" t="s">
        <v>329</v>
      </c>
      <c r="C311" s="3" t="s">
        <v>389</v>
      </c>
      <c r="D311" s="3" t="s">
        <v>398</v>
      </c>
      <c r="E311" s="3" t="s">
        <v>328</v>
      </c>
    </row>
    <row r="312">
      <c r="A312" s="23">
        <v>45889.4390009375</v>
      </c>
      <c r="B312" s="3" t="s">
        <v>329</v>
      </c>
      <c r="C312" s="3" t="s">
        <v>379</v>
      </c>
      <c r="D312" s="3" t="s">
        <v>115</v>
      </c>
      <c r="E312" s="3" t="s">
        <v>328</v>
      </c>
    </row>
    <row r="313">
      <c r="A313" s="23">
        <v>45889.43900576389</v>
      </c>
      <c r="B313" s="3" t="s">
        <v>329</v>
      </c>
      <c r="C313" s="3" t="s">
        <v>399</v>
      </c>
      <c r="D313" s="3" t="s">
        <v>115</v>
      </c>
      <c r="E313" s="3" t="s">
        <v>328</v>
      </c>
    </row>
    <row r="314">
      <c r="A314" s="23">
        <v>45889.43900825232</v>
      </c>
      <c r="B314" s="3" t="s">
        <v>329</v>
      </c>
      <c r="C314" s="3" t="s">
        <v>392</v>
      </c>
      <c r="D314" s="3" t="s">
        <v>115</v>
      </c>
      <c r="E314" s="3" t="s">
        <v>328</v>
      </c>
    </row>
    <row r="315">
      <c r="A315" s="23">
        <v>45889.439010358794</v>
      </c>
      <c r="B315" s="3" t="s">
        <v>329</v>
      </c>
      <c r="C315" s="3" t="s">
        <v>345</v>
      </c>
      <c r="D315" s="3" t="s">
        <v>115</v>
      </c>
      <c r="E315" s="3" t="s">
        <v>328</v>
      </c>
    </row>
    <row r="316">
      <c r="A316" s="23">
        <v>45889.439033159724</v>
      </c>
      <c r="B316" s="3" t="s">
        <v>329</v>
      </c>
      <c r="C316" s="3" t="s">
        <v>346</v>
      </c>
      <c r="D316" s="3" t="s">
        <v>115</v>
      </c>
      <c r="E316" s="3" t="s">
        <v>328</v>
      </c>
    </row>
    <row r="317">
      <c r="A317" s="23">
        <v>45889.43903546296</v>
      </c>
      <c r="B317" s="3" t="s">
        <v>329</v>
      </c>
      <c r="C317" s="3" t="s">
        <v>347</v>
      </c>
      <c r="D317" s="3" t="s">
        <v>115</v>
      </c>
      <c r="E317" s="3" t="s">
        <v>328</v>
      </c>
    </row>
    <row r="318">
      <c r="A318" s="23">
        <v>45889.439046562504</v>
      </c>
      <c r="B318" s="3" t="s">
        <v>329</v>
      </c>
      <c r="C318" s="3" t="s">
        <v>400</v>
      </c>
      <c r="D318" s="3" t="s">
        <v>115</v>
      </c>
      <c r="E318" s="3" t="s">
        <v>328</v>
      </c>
    </row>
    <row r="319">
      <c r="A319" s="23">
        <v>45889.43904885417</v>
      </c>
      <c r="B319" s="3" t="s">
        <v>329</v>
      </c>
      <c r="C319" s="3" t="s">
        <v>349</v>
      </c>
      <c r="D319" s="3" t="s">
        <v>115</v>
      </c>
      <c r="E319" s="3" t="s">
        <v>328</v>
      </c>
    </row>
    <row r="320">
      <c r="A320" s="23">
        <v>45889.43908960648</v>
      </c>
      <c r="B320" s="3" t="s">
        <v>325</v>
      </c>
      <c r="C320" s="3" t="s">
        <v>350</v>
      </c>
      <c r="D320" s="3" t="s">
        <v>351</v>
      </c>
      <c r="E320" s="3" t="s">
        <v>328</v>
      </c>
    </row>
    <row r="321">
      <c r="A321" s="23">
        <v>45889.43909180556</v>
      </c>
      <c r="B321" s="3" t="s">
        <v>329</v>
      </c>
      <c r="C321" s="3" t="s">
        <v>352</v>
      </c>
      <c r="D321" s="3" t="s">
        <v>115</v>
      </c>
      <c r="E321" s="3" t="s">
        <v>328</v>
      </c>
    </row>
    <row r="322">
      <c r="A322" s="23">
        <v>45889.43910751157</v>
      </c>
      <c r="B322" s="3" t="s">
        <v>329</v>
      </c>
      <c r="C322" s="3" t="s">
        <v>353</v>
      </c>
      <c r="D322" s="3" t="s">
        <v>115</v>
      </c>
      <c r="E322" s="3" t="s">
        <v>328</v>
      </c>
    </row>
    <row r="323">
      <c r="A323" s="23">
        <v>45889.43910960648</v>
      </c>
      <c r="B323" s="3" t="s">
        <v>329</v>
      </c>
      <c r="C323" s="66" t="str">
        <f>== Finance automation process completed successfully in 21s ===</f>
        <v>#ERROR!</v>
      </c>
      <c r="D323" s="3" t="s">
        <v>115</v>
      </c>
      <c r="E323" s="3" t="s">
        <v>328</v>
      </c>
    </row>
    <row r="324">
      <c r="A324" s="23">
        <v>45889.44243953704</v>
      </c>
      <c r="B324" s="3" t="s">
        <v>329</v>
      </c>
      <c r="C324" s="3" t="s">
        <v>335</v>
      </c>
      <c r="D324" s="3" t="s">
        <v>115</v>
      </c>
      <c r="E324" s="3" t="s">
        <v>328</v>
      </c>
    </row>
    <row r="325">
      <c r="A325" s="23">
        <v>45889.50946208333</v>
      </c>
      <c r="B325" s="3" t="s">
        <v>325</v>
      </c>
      <c r="C325" s="3" t="s">
        <v>401</v>
      </c>
      <c r="D325" s="3" t="s">
        <v>402</v>
      </c>
      <c r="E325" s="3" t="s">
        <v>328</v>
      </c>
    </row>
    <row r="326">
      <c r="A326" s="23">
        <v>45889.523706886575</v>
      </c>
      <c r="B326" s="3" t="s">
        <v>329</v>
      </c>
      <c r="C326" s="3" t="s">
        <v>335</v>
      </c>
      <c r="D326" s="3" t="s">
        <v>115</v>
      </c>
      <c r="E326" s="3" t="s">
        <v>328</v>
      </c>
    </row>
    <row r="327">
      <c r="A327" s="23">
        <v>45889.524098587965</v>
      </c>
      <c r="B327" s="3" t="s">
        <v>329</v>
      </c>
      <c r="C327" s="66" t="str">
        <f>== Starting complete finance automation process ===</f>
        <v>#ERROR!</v>
      </c>
      <c r="D327" s="3" t="s">
        <v>115</v>
      </c>
      <c r="E327" s="3" t="s">
        <v>328</v>
      </c>
    </row>
    <row r="328">
      <c r="A328" s="23">
        <v>45889.52411039352</v>
      </c>
      <c r="B328" s="3" t="s">
        <v>329</v>
      </c>
      <c r="C328" s="3" t="s">
        <v>336</v>
      </c>
      <c r="D328" s="3" t="s">
        <v>115</v>
      </c>
      <c r="E328" s="3" t="s">
        <v>328</v>
      </c>
    </row>
    <row r="329">
      <c r="A329" s="23">
        <v>45889.5241303125</v>
      </c>
      <c r="B329" s="3" t="s">
        <v>329</v>
      </c>
      <c r="C329" s="3" t="s">
        <v>393</v>
      </c>
      <c r="D329" s="3" t="s">
        <v>115</v>
      </c>
      <c r="E329" s="3" t="s">
        <v>328</v>
      </c>
    </row>
    <row r="330">
      <c r="A330" s="23">
        <v>45889.524137465276</v>
      </c>
      <c r="B330" s="3" t="s">
        <v>325</v>
      </c>
      <c r="C330" s="3" t="s">
        <v>403</v>
      </c>
      <c r="D330" s="3" t="s">
        <v>404</v>
      </c>
      <c r="E330" s="3" t="s">
        <v>328</v>
      </c>
    </row>
    <row r="331">
      <c r="A331" s="23">
        <v>45889.5241478588</v>
      </c>
      <c r="B331" s="3" t="s">
        <v>325</v>
      </c>
      <c r="C331" s="3" t="s">
        <v>405</v>
      </c>
      <c r="D331" s="3" t="s">
        <v>404</v>
      </c>
      <c r="E331" s="3" t="s">
        <v>328</v>
      </c>
    </row>
    <row r="332">
      <c r="A332" s="23">
        <v>45889.52415170139</v>
      </c>
      <c r="B332" s="3" t="s">
        <v>325</v>
      </c>
      <c r="C332" s="3" t="s">
        <v>406</v>
      </c>
      <c r="D332" s="3" t="s">
        <v>404</v>
      </c>
      <c r="E332" s="3" t="s">
        <v>328</v>
      </c>
    </row>
    <row r="333">
      <c r="A333" s="23">
        <v>45889.524157708336</v>
      </c>
      <c r="B333" s="3" t="s">
        <v>325</v>
      </c>
      <c r="C333" s="3" t="s">
        <v>407</v>
      </c>
      <c r="D333" s="3" t="s">
        <v>404</v>
      </c>
      <c r="E333" s="3" t="s">
        <v>328</v>
      </c>
    </row>
    <row r="334">
      <c r="A334" s="23">
        <v>45889.524168495365</v>
      </c>
      <c r="B334" s="3" t="s">
        <v>325</v>
      </c>
      <c r="C334" s="3" t="s">
        <v>408</v>
      </c>
      <c r="D334" s="3" t="s">
        <v>404</v>
      </c>
      <c r="E334" s="3" t="s">
        <v>328</v>
      </c>
    </row>
    <row r="335">
      <c r="A335" s="23">
        <v>45889.52418206018</v>
      </c>
      <c r="B335" s="3" t="s">
        <v>329</v>
      </c>
      <c r="C335" s="3" t="s">
        <v>338</v>
      </c>
      <c r="D335" s="3" t="s">
        <v>339</v>
      </c>
      <c r="E335" s="3" t="s">
        <v>328</v>
      </c>
    </row>
    <row r="336">
      <c r="A336" s="23">
        <v>45889.52419694445</v>
      </c>
      <c r="B336" s="3" t="s">
        <v>329</v>
      </c>
      <c r="C336" s="3" t="s">
        <v>340</v>
      </c>
      <c r="D336" s="3" t="s">
        <v>115</v>
      </c>
      <c r="E336" s="3" t="s">
        <v>328</v>
      </c>
    </row>
    <row r="337">
      <c r="A337" s="23">
        <v>45889.52421853009</v>
      </c>
      <c r="B337" s="3" t="s">
        <v>329</v>
      </c>
      <c r="C337" s="3" t="s">
        <v>341</v>
      </c>
      <c r="D337" s="3" t="s">
        <v>115</v>
      </c>
      <c r="E337" s="3" t="s">
        <v>328</v>
      </c>
    </row>
    <row r="338">
      <c r="A338" s="23">
        <v>45889.52422392361</v>
      </c>
      <c r="B338" s="3" t="s">
        <v>329</v>
      </c>
      <c r="C338" s="3" t="s">
        <v>342</v>
      </c>
      <c r="D338" s="3" t="s">
        <v>115</v>
      </c>
      <c r="E338" s="3" t="s">
        <v>328</v>
      </c>
    </row>
    <row r="339">
      <c r="A339" s="23">
        <v>45889.52422737268</v>
      </c>
      <c r="B339" s="3" t="s">
        <v>329</v>
      </c>
      <c r="C339" s="3" t="s">
        <v>343</v>
      </c>
      <c r="D339" s="3" t="s">
        <v>115</v>
      </c>
      <c r="E339" s="3" t="s">
        <v>328</v>
      </c>
    </row>
    <row r="340">
      <c r="A340" s="23">
        <v>45889.52423043981</v>
      </c>
      <c r="B340" s="3" t="s">
        <v>325</v>
      </c>
      <c r="C340" s="3" t="s">
        <v>409</v>
      </c>
      <c r="D340" s="3" t="s">
        <v>410</v>
      </c>
      <c r="E340" s="3" t="s">
        <v>328</v>
      </c>
    </row>
    <row r="341">
      <c r="A341" s="23">
        <v>45889.52427512732</v>
      </c>
      <c r="B341" s="3" t="s">
        <v>329</v>
      </c>
      <c r="C341" s="3" t="s">
        <v>345</v>
      </c>
      <c r="D341" s="3" t="s">
        <v>115</v>
      </c>
      <c r="E341" s="3" t="s">
        <v>328</v>
      </c>
    </row>
    <row r="342">
      <c r="A342" s="23">
        <v>45889.52427783565</v>
      </c>
      <c r="B342" s="3" t="s">
        <v>325</v>
      </c>
      <c r="C342" s="3" t="s">
        <v>330</v>
      </c>
      <c r="D342" s="3" t="s">
        <v>411</v>
      </c>
      <c r="E342" s="3" t="s">
        <v>328</v>
      </c>
    </row>
    <row r="343">
      <c r="A343" s="23">
        <v>45889.52552621528</v>
      </c>
      <c r="B343" s="3" t="s">
        <v>325</v>
      </c>
      <c r="C343" s="3" t="s">
        <v>409</v>
      </c>
      <c r="D343" s="3" t="s">
        <v>410</v>
      </c>
      <c r="E343" s="3" t="s">
        <v>328</v>
      </c>
    </row>
    <row r="344">
      <c r="A344" s="23">
        <v>45889.52628482639</v>
      </c>
      <c r="B344" s="3" t="s">
        <v>329</v>
      </c>
      <c r="C344" s="66" t="str">
        <f>== Starting complete finance automation process ===</f>
        <v>#ERROR!</v>
      </c>
      <c r="D344" s="3" t="s">
        <v>115</v>
      </c>
      <c r="E344" s="3" t="s">
        <v>328</v>
      </c>
    </row>
    <row r="345">
      <c r="A345" s="23">
        <v>45889.52630650463</v>
      </c>
      <c r="B345" s="3" t="s">
        <v>329</v>
      </c>
      <c r="C345" s="3" t="s">
        <v>336</v>
      </c>
      <c r="D345" s="3" t="s">
        <v>115</v>
      </c>
      <c r="E345" s="3" t="s">
        <v>328</v>
      </c>
    </row>
    <row r="346">
      <c r="A346" s="23">
        <v>45889.52634321759</v>
      </c>
      <c r="B346" s="3" t="s">
        <v>329</v>
      </c>
      <c r="C346" s="3" t="s">
        <v>393</v>
      </c>
      <c r="D346" s="3" t="s">
        <v>115</v>
      </c>
      <c r="E346" s="3" t="s">
        <v>328</v>
      </c>
    </row>
    <row r="347">
      <c r="A347" s="23">
        <v>45889.526350405096</v>
      </c>
      <c r="B347" s="3" t="s">
        <v>325</v>
      </c>
      <c r="C347" s="3" t="s">
        <v>403</v>
      </c>
      <c r="D347" s="3" t="s">
        <v>404</v>
      </c>
      <c r="E347" s="3" t="s">
        <v>328</v>
      </c>
    </row>
    <row r="348">
      <c r="A348" s="23">
        <v>45889.526360821765</v>
      </c>
      <c r="B348" s="3" t="s">
        <v>325</v>
      </c>
      <c r="C348" s="3" t="s">
        <v>405</v>
      </c>
      <c r="D348" s="3" t="s">
        <v>404</v>
      </c>
      <c r="E348" s="3" t="s">
        <v>328</v>
      </c>
    </row>
    <row r="349">
      <c r="A349" s="23">
        <v>45889.526369178246</v>
      </c>
      <c r="B349" s="3" t="s">
        <v>325</v>
      </c>
      <c r="C349" s="3" t="s">
        <v>406</v>
      </c>
      <c r="D349" s="3" t="s">
        <v>404</v>
      </c>
      <c r="E349" s="3" t="s">
        <v>328</v>
      </c>
    </row>
    <row r="350">
      <c r="A350" s="23">
        <v>45889.52638283565</v>
      </c>
      <c r="B350" s="3" t="s">
        <v>325</v>
      </c>
      <c r="C350" s="3" t="s">
        <v>407</v>
      </c>
      <c r="D350" s="3" t="s">
        <v>404</v>
      </c>
      <c r="E350" s="3" t="s">
        <v>328</v>
      </c>
    </row>
    <row r="351">
      <c r="A351" s="23">
        <v>45889.52639006944</v>
      </c>
      <c r="B351" s="3" t="s">
        <v>325</v>
      </c>
      <c r="C351" s="3" t="s">
        <v>408</v>
      </c>
      <c r="D351" s="3" t="s">
        <v>404</v>
      </c>
      <c r="E351" s="3" t="s">
        <v>328</v>
      </c>
    </row>
    <row r="352">
      <c r="A352" s="23">
        <v>45889.52640445602</v>
      </c>
      <c r="B352" s="3" t="s">
        <v>329</v>
      </c>
      <c r="C352" s="3" t="s">
        <v>338</v>
      </c>
      <c r="D352" s="3" t="s">
        <v>339</v>
      </c>
      <c r="E352" s="3" t="s">
        <v>328</v>
      </c>
    </row>
    <row r="353">
      <c r="A353" s="23">
        <v>45889.5264219213</v>
      </c>
      <c r="B353" s="3" t="s">
        <v>329</v>
      </c>
      <c r="C353" s="3" t="s">
        <v>340</v>
      </c>
      <c r="D353" s="3" t="s">
        <v>115</v>
      </c>
      <c r="E353" s="3" t="s">
        <v>328</v>
      </c>
    </row>
    <row r="354">
      <c r="A354" s="23">
        <v>45889.52642995371</v>
      </c>
      <c r="B354" s="3" t="s">
        <v>329</v>
      </c>
      <c r="C354" s="3" t="s">
        <v>341</v>
      </c>
      <c r="D354" s="3" t="s">
        <v>115</v>
      </c>
      <c r="E354" s="3" t="s">
        <v>328</v>
      </c>
    </row>
    <row r="355">
      <c r="A355" s="23">
        <v>45889.526436388885</v>
      </c>
      <c r="B355" s="3" t="s">
        <v>329</v>
      </c>
      <c r="C355" s="3" t="s">
        <v>342</v>
      </c>
      <c r="D355" s="3" t="s">
        <v>115</v>
      </c>
      <c r="E355" s="3" t="s">
        <v>328</v>
      </c>
    </row>
    <row r="356">
      <c r="A356" s="23">
        <v>45889.52644090277</v>
      </c>
      <c r="B356" s="3" t="s">
        <v>329</v>
      </c>
      <c r="C356" s="3" t="s">
        <v>343</v>
      </c>
      <c r="D356" s="3" t="s">
        <v>115</v>
      </c>
      <c r="E356" s="3" t="s">
        <v>328</v>
      </c>
    </row>
    <row r="357">
      <c r="A357" s="23">
        <v>45889.52644627314</v>
      </c>
      <c r="B357" s="3" t="s">
        <v>325</v>
      </c>
      <c r="C357" s="3" t="s">
        <v>409</v>
      </c>
      <c r="D357" s="3" t="s">
        <v>410</v>
      </c>
      <c r="E357" s="3" t="s">
        <v>328</v>
      </c>
    </row>
    <row r="358">
      <c r="A358" s="23">
        <v>45889.52647788194</v>
      </c>
      <c r="B358" s="3" t="s">
        <v>329</v>
      </c>
      <c r="C358" s="3" t="s">
        <v>345</v>
      </c>
      <c r="D358" s="3" t="s">
        <v>115</v>
      </c>
      <c r="E358" s="3" t="s">
        <v>328</v>
      </c>
    </row>
    <row r="359">
      <c r="A359" s="23">
        <v>45889.52648436342</v>
      </c>
      <c r="B359" s="3" t="s">
        <v>325</v>
      </c>
      <c r="C359" s="3" t="s">
        <v>330</v>
      </c>
      <c r="D359" s="3" t="s">
        <v>411</v>
      </c>
      <c r="E359" s="3" t="s">
        <v>328</v>
      </c>
    </row>
    <row r="360">
      <c r="A360" s="23">
        <v>45889.52821769676</v>
      </c>
      <c r="B360" s="3" t="s">
        <v>329</v>
      </c>
      <c r="C360" s="66" t="str">
        <f>== Starting complete finance automation process ===</f>
        <v>#ERROR!</v>
      </c>
      <c r="D360" s="3" t="s">
        <v>115</v>
      </c>
      <c r="E360" s="3" t="s">
        <v>328</v>
      </c>
    </row>
    <row r="361">
      <c r="A361" s="23">
        <v>45889.52823581018</v>
      </c>
      <c r="B361" s="3" t="s">
        <v>329</v>
      </c>
      <c r="C361" s="3" t="s">
        <v>336</v>
      </c>
      <c r="D361" s="3" t="s">
        <v>115</v>
      </c>
      <c r="E361" s="3" t="s">
        <v>328</v>
      </c>
    </row>
    <row r="362">
      <c r="A362" s="23">
        <v>45889.528273090276</v>
      </c>
      <c r="B362" s="3" t="s">
        <v>329</v>
      </c>
      <c r="C362" s="3" t="s">
        <v>393</v>
      </c>
      <c r="D362" s="3" t="s">
        <v>115</v>
      </c>
      <c r="E362" s="3" t="s">
        <v>328</v>
      </c>
    </row>
    <row r="363">
      <c r="A363" s="23">
        <v>45889.52830638889</v>
      </c>
      <c r="B363" s="3" t="s">
        <v>329</v>
      </c>
      <c r="C363" s="3" t="s">
        <v>338</v>
      </c>
      <c r="D363" s="3" t="s">
        <v>339</v>
      </c>
      <c r="E363" s="3" t="s">
        <v>328</v>
      </c>
    </row>
    <row r="364">
      <c r="A364" s="23">
        <v>45889.52830929398</v>
      </c>
      <c r="B364" s="3" t="s">
        <v>329</v>
      </c>
      <c r="C364" s="3" t="s">
        <v>340</v>
      </c>
      <c r="D364" s="3" t="s">
        <v>115</v>
      </c>
      <c r="E364" s="3" t="s">
        <v>328</v>
      </c>
    </row>
    <row r="365">
      <c r="A365" s="23">
        <v>45889.52831458334</v>
      </c>
      <c r="B365" s="3" t="s">
        <v>329</v>
      </c>
      <c r="C365" s="3" t="s">
        <v>341</v>
      </c>
      <c r="D365" s="3" t="s">
        <v>115</v>
      </c>
      <c r="E365" s="3" t="s">
        <v>328</v>
      </c>
    </row>
    <row r="366">
      <c r="A366" s="23">
        <v>45889.52832030093</v>
      </c>
      <c r="B366" s="3" t="s">
        <v>329</v>
      </c>
      <c r="C366" s="3" t="s">
        <v>342</v>
      </c>
      <c r="D366" s="3" t="s">
        <v>115</v>
      </c>
      <c r="E366" s="3" t="s">
        <v>328</v>
      </c>
    </row>
    <row r="367">
      <c r="A367" s="23">
        <v>45889.52832304398</v>
      </c>
      <c r="B367" s="3" t="s">
        <v>329</v>
      </c>
      <c r="C367" s="3" t="s">
        <v>343</v>
      </c>
      <c r="D367" s="3" t="s">
        <v>115</v>
      </c>
      <c r="E367" s="3" t="s">
        <v>328</v>
      </c>
    </row>
    <row r="368">
      <c r="A368" s="23">
        <v>45889.528325879626</v>
      </c>
      <c r="B368" s="3" t="s">
        <v>325</v>
      </c>
      <c r="C368" s="3" t="s">
        <v>409</v>
      </c>
      <c r="D368" s="3" t="s">
        <v>412</v>
      </c>
      <c r="E368" s="3" t="s">
        <v>328</v>
      </c>
    </row>
    <row r="369">
      <c r="A369" s="23">
        <v>45889.5286509838</v>
      </c>
      <c r="B369" s="3" t="s">
        <v>329</v>
      </c>
      <c r="C369" s="3" t="s">
        <v>345</v>
      </c>
      <c r="D369" s="3" t="s">
        <v>115</v>
      </c>
      <c r="E369" s="3" t="s">
        <v>328</v>
      </c>
    </row>
    <row r="370">
      <c r="A370" s="23">
        <v>45889.52865385417</v>
      </c>
      <c r="B370" s="3" t="s">
        <v>329</v>
      </c>
      <c r="C370" s="3" t="s">
        <v>413</v>
      </c>
      <c r="D370" s="3" t="s">
        <v>115</v>
      </c>
      <c r="E370" s="3" t="s">
        <v>328</v>
      </c>
    </row>
    <row r="371">
      <c r="A371" s="23">
        <v>45889.52865681713</v>
      </c>
      <c r="B371" s="3" t="s">
        <v>329</v>
      </c>
      <c r="C371" s="3" t="s">
        <v>347</v>
      </c>
      <c r="D371" s="3" t="s">
        <v>115</v>
      </c>
      <c r="E371" s="3" t="s">
        <v>328</v>
      </c>
    </row>
    <row r="372">
      <c r="A372" s="23">
        <v>45889.52866023148</v>
      </c>
      <c r="B372" s="3" t="s">
        <v>325</v>
      </c>
      <c r="C372" s="3" t="s">
        <v>330</v>
      </c>
      <c r="D372" s="3" t="s">
        <v>414</v>
      </c>
      <c r="E372" s="3" t="s">
        <v>328</v>
      </c>
    </row>
    <row r="373">
      <c r="A373" s="23">
        <v>45889.53568453704</v>
      </c>
      <c r="B373" s="3" t="s">
        <v>329</v>
      </c>
      <c r="C373" s="3" t="s">
        <v>335</v>
      </c>
      <c r="D373" s="3" t="s">
        <v>115</v>
      </c>
      <c r="E373" s="3" t="s">
        <v>328</v>
      </c>
    </row>
    <row r="374">
      <c r="A374" s="23">
        <v>45889.53584030093</v>
      </c>
      <c r="B374" s="3" t="s">
        <v>325</v>
      </c>
      <c r="C374" s="3" t="s">
        <v>409</v>
      </c>
      <c r="D374" s="3" t="s">
        <v>412</v>
      </c>
      <c r="E374" s="3" t="s">
        <v>328</v>
      </c>
    </row>
    <row r="375">
      <c r="A375" s="23">
        <v>45889.53703827546</v>
      </c>
      <c r="B375" s="3" t="s">
        <v>329</v>
      </c>
      <c r="C375" s="3" t="s">
        <v>335</v>
      </c>
      <c r="D375" s="3" t="s">
        <v>115</v>
      </c>
      <c r="E375" s="3" t="s">
        <v>328</v>
      </c>
    </row>
    <row r="376">
      <c r="A376" s="23">
        <v>45889.53713141204</v>
      </c>
      <c r="B376" s="3" t="s">
        <v>325</v>
      </c>
      <c r="C376" s="3" t="s">
        <v>409</v>
      </c>
      <c r="D376" s="3" t="s">
        <v>412</v>
      </c>
      <c r="E376" s="3" t="s">
        <v>328</v>
      </c>
    </row>
    <row r="377">
      <c r="A377" s="23">
        <v>45889.53969994213</v>
      </c>
      <c r="B377" s="3" t="s">
        <v>329</v>
      </c>
      <c r="C377" s="3" t="s">
        <v>335</v>
      </c>
      <c r="D377" s="3" t="s">
        <v>115</v>
      </c>
      <c r="E377" s="3" t="s">
        <v>328</v>
      </c>
    </row>
    <row r="378">
      <c r="A378" s="23">
        <v>45889.53975765046</v>
      </c>
      <c r="B378" s="3" t="s">
        <v>325</v>
      </c>
      <c r="C378" s="3" t="s">
        <v>409</v>
      </c>
      <c r="D378" s="3" t="s">
        <v>402</v>
      </c>
      <c r="E378" s="3" t="s">
        <v>328</v>
      </c>
    </row>
    <row r="379">
      <c r="A379" s="23">
        <v>45889.53995844907</v>
      </c>
      <c r="B379" s="3" t="s">
        <v>329</v>
      </c>
      <c r="C379" s="3" t="s">
        <v>415</v>
      </c>
      <c r="D379" s="3" t="s">
        <v>416</v>
      </c>
      <c r="E379" s="3" t="s">
        <v>328</v>
      </c>
    </row>
    <row r="380">
      <c r="A380" s="23">
        <v>45889.540667407404</v>
      </c>
      <c r="B380" s="3" t="s">
        <v>329</v>
      </c>
      <c r="C380" s="66" t="str">
        <f>== Starting complete finance automation process ===</f>
        <v>#ERROR!</v>
      </c>
      <c r="D380" s="3" t="s">
        <v>115</v>
      </c>
      <c r="E380" s="3" t="s">
        <v>328</v>
      </c>
    </row>
    <row r="381">
      <c r="A381" s="23">
        <v>45889.540698530094</v>
      </c>
      <c r="B381" s="3" t="s">
        <v>329</v>
      </c>
      <c r="C381" s="3" t="s">
        <v>336</v>
      </c>
      <c r="D381" s="3" t="s">
        <v>115</v>
      </c>
      <c r="E381" s="3" t="s">
        <v>328</v>
      </c>
    </row>
    <row r="382">
      <c r="A382" s="23">
        <v>45889.54073923611</v>
      </c>
      <c r="B382" s="3" t="s">
        <v>329</v>
      </c>
      <c r="C382" s="3" t="s">
        <v>393</v>
      </c>
      <c r="D382" s="3" t="s">
        <v>115</v>
      </c>
      <c r="E382" s="3" t="s">
        <v>328</v>
      </c>
    </row>
    <row r="383">
      <c r="A383" s="23">
        <v>45889.540768969906</v>
      </c>
      <c r="B383" s="3" t="s">
        <v>329</v>
      </c>
      <c r="C383" s="3" t="s">
        <v>338</v>
      </c>
      <c r="D383" s="3" t="s">
        <v>339</v>
      </c>
      <c r="E383" s="3" t="s">
        <v>328</v>
      </c>
    </row>
    <row r="384">
      <c r="A384" s="23">
        <v>45889.54077228009</v>
      </c>
      <c r="B384" s="3" t="s">
        <v>329</v>
      </c>
      <c r="C384" s="3" t="s">
        <v>340</v>
      </c>
      <c r="D384" s="3" t="s">
        <v>115</v>
      </c>
      <c r="E384" s="3" t="s">
        <v>328</v>
      </c>
    </row>
    <row r="385">
      <c r="A385" s="23">
        <v>45889.54077896991</v>
      </c>
      <c r="B385" s="3" t="s">
        <v>329</v>
      </c>
      <c r="C385" s="3" t="s">
        <v>341</v>
      </c>
      <c r="D385" s="3" t="s">
        <v>115</v>
      </c>
      <c r="E385" s="3" t="s">
        <v>328</v>
      </c>
    </row>
    <row r="386">
      <c r="A386" s="23">
        <v>45889.54078810185</v>
      </c>
      <c r="B386" s="3" t="s">
        <v>329</v>
      </c>
      <c r="C386" s="3" t="s">
        <v>342</v>
      </c>
      <c r="D386" s="3" t="s">
        <v>115</v>
      </c>
      <c r="E386" s="3" t="s">
        <v>328</v>
      </c>
    </row>
    <row r="387">
      <c r="A387" s="23">
        <v>45889.54079122686</v>
      </c>
      <c r="B387" s="3" t="s">
        <v>329</v>
      </c>
      <c r="C387" s="3" t="s">
        <v>343</v>
      </c>
      <c r="D387" s="3" t="s">
        <v>115</v>
      </c>
      <c r="E387" s="3" t="s">
        <v>328</v>
      </c>
    </row>
    <row r="388">
      <c r="A388" s="23">
        <v>45889.540807604164</v>
      </c>
      <c r="B388" s="3" t="s">
        <v>325</v>
      </c>
      <c r="C388" s="3" t="s">
        <v>409</v>
      </c>
      <c r="D388" s="3" t="s">
        <v>402</v>
      </c>
      <c r="E388" s="3" t="s">
        <v>328</v>
      </c>
    </row>
    <row r="389">
      <c r="A389" s="23">
        <v>45889.54096817129</v>
      </c>
      <c r="B389" s="3" t="s">
        <v>329</v>
      </c>
      <c r="C389" s="3" t="s">
        <v>345</v>
      </c>
      <c r="D389" s="3" t="s">
        <v>115</v>
      </c>
      <c r="E389" s="3" t="s">
        <v>328</v>
      </c>
    </row>
    <row r="390">
      <c r="A390" s="23">
        <v>45889.54097100694</v>
      </c>
      <c r="B390" s="3" t="s">
        <v>329</v>
      </c>
      <c r="C390" s="3" t="s">
        <v>413</v>
      </c>
      <c r="D390" s="3" t="s">
        <v>115</v>
      </c>
      <c r="E390" s="3" t="s">
        <v>328</v>
      </c>
    </row>
    <row r="391">
      <c r="A391" s="23">
        <v>45889.540974351854</v>
      </c>
      <c r="B391" s="3" t="s">
        <v>329</v>
      </c>
      <c r="C391" s="3" t="s">
        <v>347</v>
      </c>
      <c r="D391" s="3" t="s">
        <v>115</v>
      </c>
      <c r="E391" s="3" t="s">
        <v>328</v>
      </c>
    </row>
    <row r="392">
      <c r="A392" s="23">
        <v>45889.54098497685</v>
      </c>
      <c r="B392" s="3" t="s">
        <v>329</v>
      </c>
      <c r="C392" s="3" t="s">
        <v>415</v>
      </c>
      <c r="D392" s="3" t="s">
        <v>416</v>
      </c>
      <c r="E392" s="3" t="s">
        <v>328</v>
      </c>
    </row>
    <row r="393">
      <c r="A393" s="23">
        <v>45889.54098792824</v>
      </c>
      <c r="B393" s="3" t="s">
        <v>329</v>
      </c>
      <c r="C393" s="3" t="s">
        <v>349</v>
      </c>
      <c r="D393" s="3" t="s">
        <v>115</v>
      </c>
      <c r="E393" s="3" t="s">
        <v>328</v>
      </c>
    </row>
    <row r="394">
      <c r="A394" s="23">
        <v>45889.54099112269</v>
      </c>
      <c r="B394" s="3" t="s">
        <v>325</v>
      </c>
      <c r="C394" s="3" t="s">
        <v>330</v>
      </c>
      <c r="D394" s="3" t="s">
        <v>417</v>
      </c>
      <c r="E394" s="3" t="s">
        <v>328</v>
      </c>
    </row>
    <row r="395">
      <c r="A395" s="23">
        <v>45889.54308466435</v>
      </c>
      <c r="B395" s="3" t="s">
        <v>329</v>
      </c>
      <c r="C395" s="66" t="str">
        <f>== Starting complete finance automation process ===</f>
        <v>#ERROR!</v>
      </c>
      <c r="D395" s="3" t="s">
        <v>115</v>
      </c>
      <c r="E395" s="3" t="s">
        <v>328</v>
      </c>
    </row>
    <row r="396">
      <c r="A396" s="23">
        <v>45889.54309542824</v>
      </c>
      <c r="B396" s="3" t="s">
        <v>329</v>
      </c>
      <c r="C396" s="3" t="s">
        <v>336</v>
      </c>
      <c r="D396" s="3" t="s">
        <v>115</v>
      </c>
      <c r="E396" s="3" t="s">
        <v>328</v>
      </c>
    </row>
    <row r="397">
      <c r="A397" s="23">
        <v>45889.543114976856</v>
      </c>
      <c r="B397" s="3" t="s">
        <v>329</v>
      </c>
      <c r="C397" s="3" t="s">
        <v>393</v>
      </c>
      <c r="D397" s="3" t="s">
        <v>115</v>
      </c>
      <c r="E397" s="3" t="s">
        <v>328</v>
      </c>
    </row>
    <row r="398">
      <c r="A398" s="23">
        <v>45889.54315142361</v>
      </c>
      <c r="B398" s="3" t="s">
        <v>329</v>
      </c>
      <c r="C398" s="3" t="s">
        <v>338</v>
      </c>
      <c r="D398" s="3" t="s">
        <v>339</v>
      </c>
      <c r="E398" s="3" t="s">
        <v>328</v>
      </c>
    </row>
    <row r="399">
      <c r="A399" s="23">
        <v>45889.54315403935</v>
      </c>
      <c r="B399" s="3" t="s">
        <v>329</v>
      </c>
      <c r="C399" s="3" t="s">
        <v>340</v>
      </c>
      <c r="D399" s="3" t="s">
        <v>115</v>
      </c>
      <c r="E399" s="3" t="s">
        <v>328</v>
      </c>
    </row>
    <row r="400">
      <c r="A400" s="23">
        <v>45889.5431574074</v>
      </c>
      <c r="B400" s="3" t="s">
        <v>329</v>
      </c>
      <c r="C400" s="3" t="s">
        <v>341</v>
      </c>
      <c r="D400" s="3" t="s">
        <v>115</v>
      </c>
      <c r="E400" s="3" t="s">
        <v>328</v>
      </c>
    </row>
    <row r="401">
      <c r="A401" s="23">
        <v>45889.54316094908</v>
      </c>
      <c r="B401" s="3" t="s">
        <v>329</v>
      </c>
      <c r="C401" s="3" t="s">
        <v>342</v>
      </c>
      <c r="D401" s="3" t="s">
        <v>115</v>
      </c>
      <c r="E401" s="3" t="s">
        <v>328</v>
      </c>
    </row>
    <row r="402">
      <c r="A402" s="23">
        <v>45889.54316327546</v>
      </c>
      <c r="B402" s="3" t="s">
        <v>329</v>
      </c>
      <c r="C402" s="3" t="s">
        <v>343</v>
      </c>
      <c r="D402" s="3" t="s">
        <v>115</v>
      </c>
      <c r="E402" s="3" t="s">
        <v>328</v>
      </c>
    </row>
    <row r="403">
      <c r="A403" s="23">
        <v>45889.54319082176</v>
      </c>
      <c r="B403" s="3" t="s">
        <v>329</v>
      </c>
      <c r="C403" s="3" t="s">
        <v>418</v>
      </c>
      <c r="D403" s="3" t="s">
        <v>115</v>
      </c>
      <c r="E403" s="3" t="s">
        <v>328</v>
      </c>
    </row>
    <row r="404">
      <c r="A404" s="23">
        <v>45889.543197569445</v>
      </c>
      <c r="B404" s="3" t="s">
        <v>329</v>
      </c>
      <c r="C404" s="3" t="s">
        <v>419</v>
      </c>
      <c r="D404" s="3" t="s">
        <v>115</v>
      </c>
      <c r="E404" s="3" t="s">
        <v>328</v>
      </c>
    </row>
    <row r="405">
      <c r="A405" s="23">
        <v>45889.5432050463</v>
      </c>
      <c r="B405" s="3" t="s">
        <v>329</v>
      </c>
      <c r="C405" s="3" t="s">
        <v>420</v>
      </c>
      <c r="D405" s="3" t="s">
        <v>115</v>
      </c>
      <c r="E405" s="3" t="s">
        <v>328</v>
      </c>
    </row>
    <row r="406">
      <c r="A406" s="23">
        <v>45889.54321103009</v>
      </c>
      <c r="B406" s="3" t="s">
        <v>329</v>
      </c>
      <c r="C406" s="3" t="s">
        <v>421</v>
      </c>
      <c r="D406" s="3" t="s">
        <v>115</v>
      </c>
      <c r="E406" s="3" t="s">
        <v>328</v>
      </c>
    </row>
    <row r="407">
      <c r="A407" s="23">
        <v>45889.54322224537</v>
      </c>
      <c r="B407" s="3" t="s">
        <v>329</v>
      </c>
      <c r="C407" s="3" t="s">
        <v>422</v>
      </c>
      <c r="D407" s="3" t="s">
        <v>115</v>
      </c>
      <c r="E407" s="3" t="s">
        <v>328</v>
      </c>
    </row>
    <row r="408">
      <c r="A408" s="23">
        <v>45889.543233240736</v>
      </c>
      <c r="B408" s="3" t="s">
        <v>329</v>
      </c>
      <c r="C408" s="3" t="s">
        <v>423</v>
      </c>
      <c r="D408" s="3" t="s">
        <v>115</v>
      </c>
      <c r="E408" s="3" t="s">
        <v>328</v>
      </c>
    </row>
    <row r="409">
      <c r="A409" s="23">
        <v>45889.543250208335</v>
      </c>
      <c r="B409" s="3" t="s">
        <v>329</v>
      </c>
      <c r="C409" s="3" t="s">
        <v>424</v>
      </c>
      <c r="D409" s="3" t="s">
        <v>115</v>
      </c>
      <c r="E409" s="3" t="s">
        <v>328</v>
      </c>
    </row>
    <row r="410">
      <c r="A410" s="23">
        <v>45889.543329629625</v>
      </c>
      <c r="B410" s="3" t="s">
        <v>329</v>
      </c>
      <c r="C410" s="3" t="s">
        <v>345</v>
      </c>
      <c r="D410" s="3" t="s">
        <v>115</v>
      </c>
      <c r="E410" s="3" t="s">
        <v>328</v>
      </c>
    </row>
    <row r="411">
      <c r="A411" s="23">
        <v>45889.543332870366</v>
      </c>
      <c r="B411" s="3" t="s">
        <v>329</v>
      </c>
      <c r="C411" s="3" t="s">
        <v>413</v>
      </c>
      <c r="D411" s="3" t="s">
        <v>115</v>
      </c>
      <c r="E411" s="3" t="s">
        <v>328</v>
      </c>
    </row>
    <row r="412">
      <c r="A412" s="23">
        <v>45889.54333541667</v>
      </c>
      <c r="B412" s="3" t="s">
        <v>329</v>
      </c>
      <c r="C412" s="3" t="s">
        <v>347</v>
      </c>
      <c r="D412" s="3" t="s">
        <v>115</v>
      </c>
      <c r="E412" s="3" t="s">
        <v>328</v>
      </c>
    </row>
    <row r="413">
      <c r="A413" s="23">
        <v>45889.54334293981</v>
      </c>
      <c r="B413" s="3" t="s">
        <v>329</v>
      </c>
      <c r="C413" s="3" t="s">
        <v>415</v>
      </c>
      <c r="D413" s="3" t="s">
        <v>425</v>
      </c>
      <c r="E413" s="3" t="s">
        <v>328</v>
      </c>
    </row>
    <row r="414">
      <c r="A414" s="23">
        <v>45889.54334549769</v>
      </c>
      <c r="B414" s="3" t="s">
        <v>329</v>
      </c>
      <c r="C414" s="3" t="s">
        <v>349</v>
      </c>
      <c r="D414" s="3" t="s">
        <v>115</v>
      </c>
      <c r="E414" s="3" t="s">
        <v>328</v>
      </c>
    </row>
    <row r="415">
      <c r="A415" s="23">
        <v>45889.54334853009</v>
      </c>
      <c r="B415" s="3" t="s">
        <v>329</v>
      </c>
      <c r="C415" s="3" t="s">
        <v>426</v>
      </c>
      <c r="D415" s="3" t="s">
        <v>115</v>
      </c>
      <c r="E415" s="3" t="s">
        <v>328</v>
      </c>
    </row>
    <row r="416">
      <c r="A416" s="23">
        <v>45889.54336991898</v>
      </c>
      <c r="B416" s="3" t="s">
        <v>329</v>
      </c>
      <c r="C416" s="3" t="s">
        <v>352</v>
      </c>
      <c r="D416" s="3" t="s">
        <v>115</v>
      </c>
      <c r="E416" s="3" t="s">
        <v>328</v>
      </c>
    </row>
    <row r="417">
      <c r="A417" s="23">
        <v>45889.54337233797</v>
      </c>
      <c r="B417" s="3" t="s">
        <v>325</v>
      </c>
      <c r="C417" s="3" t="s">
        <v>330</v>
      </c>
      <c r="D417" s="3" t="s">
        <v>427</v>
      </c>
      <c r="E417" s="3" t="s">
        <v>328</v>
      </c>
    </row>
    <row r="418">
      <c r="A418" s="23">
        <v>45889.54782078703</v>
      </c>
      <c r="B418" s="3" t="s">
        <v>329</v>
      </c>
      <c r="C418" s="66" t="str">
        <f>== Starting complete finance automation process ===</f>
        <v>#ERROR!</v>
      </c>
      <c r="D418" s="3" t="s">
        <v>115</v>
      </c>
      <c r="E418" s="3" t="s">
        <v>328</v>
      </c>
    </row>
    <row r="419">
      <c r="A419" s="23">
        <v>45889.54784402778</v>
      </c>
      <c r="B419" s="3" t="s">
        <v>329</v>
      </c>
      <c r="C419" s="3" t="s">
        <v>336</v>
      </c>
      <c r="D419" s="3" t="s">
        <v>115</v>
      </c>
      <c r="E419" s="3" t="s">
        <v>328</v>
      </c>
    </row>
    <row r="420">
      <c r="A420" s="23">
        <v>45889.54786189814</v>
      </c>
      <c r="B420" s="3" t="s">
        <v>329</v>
      </c>
      <c r="C420" s="3" t="s">
        <v>393</v>
      </c>
      <c r="D420" s="3" t="s">
        <v>115</v>
      </c>
      <c r="E420" s="3" t="s">
        <v>328</v>
      </c>
    </row>
    <row r="421">
      <c r="A421" s="23">
        <v>45889.547895509255</v>
      </c>
      <c r="B421" s="3" t="s">
        <v>329</v>
      </c>
      <c r="C421" s="3" t="s">
        <v>338</v>
      </c>
      <c r="D421" s="3" t="s">
        <v>339</v>
      </c>
      <c r="E421" s="3" t="s">
        <v>328</v>
      </c>
    </row>
    <row r="422">
      <c r="A422" s="23">
        <v>45889.547897233795</v>
      </c>
      <c r="B422" s="3" t="s">
        <v>329</v>
      </c>
      <c r="C422" s="3" t="s">
        <v>340</v>
      </c>
      <c r="D422" s="3" t="s">
        <v>115</v>
      </c>
      <c r="E422" s="3" t="s">
        <v>328</v>
      </c>
    </row>
    <row r="423">
      <c r="A423" s="23">
        <v>45889.54790065972</v>
      </c>
      <c r="B423" s="3" t="s">
        <v>329</v>
      </c>
      <c r="C423" s="3" t="s">
        <v>341</v>
      </c>
      <c r="D423" s="3" t="s">
        <v>115</v>
      </c>
      <c r="E423" s="3" t="s">
        <v>328</v>
      </c>
    </row>
    <row r="424">
      <c r="A424" s="23">
        <v>45889.54790297453</v>
      </c>
      <c r="B424" s="3" t="s">
        <v>329</v>
      </c>
      <c r="C424" s="3" t="s">
        <v>342</v>
      </c>
      <c r="D424" s="3" t="s">
        <v>115</v>
      </c>
      <c r="E424" s="3" t="s">
        <v>328</v>
      </c>
    </row>
    <row r="425">
      <c r="A425" s="23">
        <v>45889.5479047338</v>
      </c>
      <c r="B425" s="3" t="s">
        <v>329</v>
      </c>
      <c r="C425" s="3" t="s">
        <v>343</v>
      </c>
      <c r="D425" s="3" t="s">
        <v>115</v>
      </c>
      <c r="E425" s="3" t="s">
        <v>328</v>
      </c>
    </row>
    <row r="426">
      <c r="A426" s="23">
        <v>45889.54792215278</v>
      </c>
      <c r="B426" s="3" t="s">
        <v>329</v>
      </c>
      <c r="C426" s="3" t="s">
        <v>428</v>
      </c>
      <c r="D426" s="3" t="s">
        <v>115</v>
      </c>
      <c r="E426" s="3" t="s">
        <v>328</v>
      </c>
    </row>
    <row r="427">
      <c r="A427" s="23">
        <v>45889.5479271875</v>
      </c>
      <c r="B427" s="3" t="s">
        <v>329</v>
      </c>
      <c r="C427" s="3" t="s">
        <v>419</v>
      </c>
      <c r="D427" s="3" t="s">
        <v>115</v>
      </c>
      <c r="E427" s="3" t="s">
        <v>328</v>
      </c>
    </row>
    <row r="428">
      <c r="A428" s="23">
        <v>45889.547940034725</v>
      </c>
      <c r="B428" s="3" t="s">
        <v>329</v>
      </c>
      <c r="C428" s="3" t="s">
        <v>429</v>
      </c>
      <c r="D428" s="3" t="s">
        <v>115</v>
      </c>
      <c r="E428" s="3" t="s">
        <v>328</v>
      </c>
    </row>
    <row r="429">
      <c r="A429" s="23">
        <v>45889.54794577546</v>
      </c>
      <c r="B429" s="3" t="s">
        <v>329</v>
      </c>
      <c r="C429" s="3" t="s">
        <v>421</v>
      </c>
      <c r="D429" s="3" t="s">
        <v>115</v>
      </c>
      <c r="E429" s="3" t="s">
        <v>328</v>
      </c>
    </row>
    <row r="430">
      <c r="A430" s="23">
        <v>45889.54795259259</v>
      </c>
      <c r="B430" s="3" t="s">
        <v>329</v>
      </c>
      <c r="C430" s="3" t="s">
        <v>422</v>
      </c>
      <c r="D430" s="3" t="s">
        <v>115</v>
      </c>
      <c r="E430" s="3" t="s">
        <v>328</v>
      </c>
    </row>
    <row r="431">
      <c r="A431" s="23">
        <v>45889.547961805554</v>
      </c>
      <c r="B431" s="3" t="s">
        <v>329</v>
      </c>
      <c r="C431" s="3" t="s">
        <v>423</v>
      </c>
      <c r="D431" s="3" t="s">
        <v>115</v>
      </c>
      <c r="E431" s="3" t="s">
        <v>328</v>
      </c>
    </row>
    <row r="432">
      <c r="A432" s="23">
        <v>45889.54797008102</v>
      </c>
      <c r="B432" s="3" t="s">
        <v>329</v>
      </c>
      <c r="C432" s="3" t="s">
        <v>424</v>
      </c>
      <c r="D432" s="3" t="s">
        <v>115</v>
      </c>
      <c r="E432" s="3" t="s">
        <v>328</v>
      </c>
    </row>
    <row r="433">
      <c r="A433" s="23">
        <v>45889.54827302083</v>
      </c>
      <c r="B433" s="3" t="s">
        <v>329</v>
      </c>
      <c r="C433" s="3" t="s">
        <v>345</v>
      </c>
      <c r="D433" s="3" t="s">
        <v>115</v>
      </c>
      <c r="E433" s="3" t="s">
        <v>328</v>
      </c>
    </row>
    <row r="434">
      <c r="A434" s="23">
        <v>45889.54829194445</v>
      </c>
      <c r="B434" s="3" t="s">
        <v>329</v>
      </c>
      <c r="C434" s="3" t="s">
        <v>413</v>
      </c>
      <c r="D434" s="3" t="s">
        <v>115</v>
      </c>
      <c r="E434" s="3" t="s">
        <v>328</v>
      </c>
    </row>
    <row r="435">
      <c r="A435" s="23">
        <v>45889.548294016204</v>
      </c>
      <c r="B435" s="3" t="s">
        <v>329</v>
      </c>
      <c r="C435" s="3" t="s">
        <v>347</v>
      </c>
      <c r="D435" s="3" t="s">
        <v>115</v>
      </c>
      <c r="E435" s="3" t="s">
        <v>328</v>
      </c>
    </row>
    <row r="436">
      <c r="A436" s="23">
        <v>45889.54830230324</v>
      </c>
      <c r="B436" s="3" t="s">
        <v>329</v>
      </c>
      <c r="C436" s="3" t="s">
        <v>415</v>
      </c>
      <c r="D436" s="3" t="s">
        <v>430</v>
      </c>
      <c r="E436" s="3" t="s">
        <v>328</v>
      </c>
    </row>
    <row r="437">
      <c r="A437" s="23">
        <v>45889.548304131946</v>
      </c>
      <c r="B437" s="3" t="s">
        <v>329</v>
      </c>
      <c r="C437" s="3" t="s">
        <v>349</v>
      </c>
      <c r="D437" s="3" t="s">
        <v>115</v>
      </c>
      <c r="E437" s="3" t="s">
        <v>328</v>
      </c>
    </row>
    <row r="438">
      <c r="A438" s="23">
        <v>45889.54830675926</v>
      </c>
      <c r="B438" s="3" t="s">
        <v>329</v>
      </c>
      <c r="C438" s="3" t="s">
        <v>426</v>
      </c>
      <c r="D438" s="3" t="s">
        <v>115</v>
      </c>
      <c r="E438" s="3" t="s">
        <v>328</v>
      </c>
    </row>
    <row r="439">
      <c r="A439" s="23">
        <v>45889.54830851852</v>
      </c>
      <c r="B439" s="3" t="s">
        <v>329</v>
      </c>
      <c r="C439" s="3" t="s">
        <v>352</v>
      </c>
      <c r="D439" s="3" t="s">
        <v>115</v>
      </c>
      <c r="E439" s="3" t="s">
        <v>328</v>
      </c>
    </row>
    <row r="440">
      <c r="A440" s="23">
        <v>45889.54833336806</v>
      </c>
      <c r="B440" s="3" t="s">
        <v>329</v>
      </c>
      <c r="C440" s="3" t="s">
        <v>431</v>
      </c>
      <c r="D440" s="3" t="s">
        <v>115</v>
      </c>
      <c r="E440" s="3" t="s">
        <v>328</v>
      </c>
    </row>
    <row r="441">
      <c r="A441" s="23">
        <v>45889.54833505787</v>
      </c>
      <c r="B441" s="3" t="s">
        <v>329</v>
      </c>
      <c r="C441" s="66" t="str">
        <f>== Finance automation process completed successfully in 44s ===</f>
        <v>#ERROR!</v>
      </c>
      <c r="D441" s="3" t="s">
        <v>115</v>
      </c>
      <c r="E441" s="3" t="s">
        <v>328</v>
      </c>
    </row>
    <row r="442">
      <c r="A442" s="23">
        <v>45889.55387484954</v>
      </c>
      <c r="B442" s="3" t="s">
        <v>329</v>
      </c>
      <c r="C442" s="66" t="str">
        <f>== Starting complete finance automation process ===</f>
        <v>#ERROR!</v>
      </c>
      <c r="D442" s="3" t="s">
        <v>115</v>
      </c>
      <c r="E442" s="3" t="s">
        <v>328</v>
      </c>
    </row>
    <row r="443">
      <c r="A443" s="23">
        <v>45889.553886423615</v>
      </c>
      <c r="B443" s="3" t="s">
        <v>329</v>
      </c>
      <c r="C443" s="3" t="s">
        <v>336</v>
      </c>
      <c r="D443" s="3" t="s">
        <v>115</v>
      </c>
      <c r="E443" s="3" t="s">
        <v>328</v>
      </c>
    </row>
    <row r="444">
      <c r="A444" s="23">
        <v>45889.553908657406</v>
      </c>
      <c r="B444" s="3" t="s">
        <v>329</v>
      </c>
      <c r="C444" s="3" t="s">
        <v>393</v>
      </c>
      <c r="D444" s="3" t="s">
        <v>115</v>
      </c>
      <c r="E444" s="3" t="s">
        <v>328</v>
      </c>
    </row>
    <row r="445">
      <c r="A445" s="23">
        <v>45889.553941412036</v>
      </c>
      <c r="B445" s="3" t="s">
        <v>329</v>
      </c>
      <c r="C445" s="3" t="s">
        <v>338</v>
      </c>
      <c r="D445" s="3" t="s">
        <v>339</v>
      </c>
      <c r="E445" s="3" t="s">
        <v>328</v>
      </c>
    </row>
    <row r="446">
      <c r="A446" s="23">
        <v>45889.55394474537</v>
      </c>
      <c r="B446" s="3" t="s">
        <v>329</v>
      </c>
      <c r="C446" s="3" t="s">
        <v>340</v>
      </c>
      <c r="D446" s="3" t="s">
        <v>115</v>
      </c>
      <c r="E446" s="3" t="s">
        <v>328</v>
      </c>
    </row>
    <row r="447">
      <c r="A447" s="23">
        <v>45889.55394960648</v>
      </c>
      <c r="B447" s="3" t="s">
        <v>329</v>
      </c>
      <c r="C447" s="3" t="s">
        <v>341</v>
      </c>
      <c r="D447" s="3" t="s">
        <v>115</v>
      </c>
      <c r="E447" s="3" t="s">
        <v>328</v>
      </c>
    </row>
    <row r="448">
      <c r="A448" s="23">
        <v>45889.553954456016</v>
      </c>
      <c r="B448" s="3" t="s">
        <v>329</v>
      </c>
      <c r="C448" s="3" t="s">
        <v>342</v>
      </c>
      <c r="D448" s="3" t="s">
        <v>115</v>
      </c>
      <c r="E448" s="3" t="s">
        <v>328</v>
      </c>
    </row>
    <row r="449">
      <c r="A449" s="23">
        <v>45889.55395753472</v>
      </c>
      <c r="B449" s="3" t="s">
        <v>329</v>
      </c>
      <c r="C449" s="3" t="s">
        <v>343</v>
      </c>
      <c r="D449" s="3" t="s">
        <v>115</v>
      </c>
      <c r="E449" s="3" t="s">
        <v>328</v>
      </c>
    </row>
    <row r="450">
      <c r="A450" s="23">
        <v>45889.55398865741</v>
      </c>
      <c r="B450" s="3" t="s">
        <v>329</v>
      </c>
      <c r="C450" s="3" t="s">
        <v>432</v>
      </c>
      <c r="D450" s="3" t="s">
        <v>115</v>
      </c>
      <c r="E450" s="3" t="s">
        <v>328</v>
      </c>
    </row>
    <row r="451">
      <c r="A451" s="23">
        <v>45889.553997870375</v>
      </c>
      <c r="B451" s="3" t="s">
        <v>329</v>
      </c>
      <c r="C451" s="3" t="s">
        <v>419</v>
      </c>
      <c r="D451" s="3" t="s">
        <v>115</v>
      </c>
      <c r="E451" s="3" t="s">
        <v>328</v>
      </c>
    </row>
    <row r="452">
      <c r="A452" s="23">
        <v>45889.55400604167</v>
      </c>
      <c r="B452" s="3" t="s">
        <v>329</v>
      </c>
      <c r="C452" s="3" t="s">
        <v>433</v>
      </c>
      <c r="D452" s="3" t="s">
        <v>115</v>
      </c>
      <c r="E452" s="3" t="s">
        <v>328</v>
      </c>
    </row>
    <row r="453">
      <c r="A453" s="23">
        <v>45889.55403450232</v>
      </c>
      <c r="B453" s="3" t="s">
        <v>329</v>
      </c>
      <c r="C453" s="3" t="s">
        <v>421</v>
      </c>
      <c r="D453" s="3" t="s">
        <v>115</v>
      </c>
      <c r="E453" s="3" t="s">
        <v>328</v>
      </c>
    </row>
    <row r="454">
      <c r="A454" s="23">
        <v>45889.554048645834</v>
      </c>
      <c r="B454" s="3" t="s">
        <v>329</v>
      </c>
      <c r="C454" s="3" t="s">
        <v>422</v>
      </c>
      <c r="D454" s="3" t="s">
        <v>115</v>
      </c>
      <c r="E454" s="3" t="s">
        <v>328</v>
      </c>
    </row>
    <row r="455">
      <c r="A455" s="23">
        <v>45889.5540846875</v>
      </c>
      <c r="B455" s="3" t="s">
        <v>329</v>
      </c>
      <c r="C455" s="3" t="s">
        <v>434</v>
      </c>
      <c r="D455" s="3" t="s">
        <v>115</v>
      </c>
      <c r="E455" s="3" t="s">
        <v>328</v>
      </c>
    </row>
    <row r="456">
      <c r="A456" s="23">
        <v>45889.554114224535</v>
      </c>
      <c r="B456" s="3" t="s">
        <v>329</v>
      </c>
      <c r="C456" s="3" t="s">
        <v>435</v>
      </c>
      <c r="D456" s="3" t="s">
        <v>115</v>
      </c>
      <c r="E456" s="3" t="s">
        <v>328</v>
      </c>
    </row>
    <row r="457">
      <c r="A457" s="23">
        <v>45889.55415402778</v>
      </c>
      <c r="B457" s="3" t="s">
        <v>329</v>
      </c>
      <c r="C457" s="3" t="s">
        <v>345</v>
      </c>
      <c r="D457" s="3" t="s">
        <v>115</v>
      </c>
      <c r="E457" s="3" t="s">
        <v>328</v>
      </c>
    </row>
    <row r="458">
      <c r="A458" s="23">
        <v>45889.55416013889</v>
      </c>
      <c r="B458" s="3" t="s">
        <v>329</v>
      </c>
      <c r="C458" s="3" t="s">
        <v>413</v>
      </c>
      <c r="D458" s="3" t="s">
        <v>115</v>
      </c>
      <c r="E458" s="3" t="s">
        <v>328</v>
      </c>
    </row>
    <row r="459">
      <c r="A459" s="23">
        <v>45889.55416310186</v>
      </c>
      <c r="B459" s="3" t="s">
        <v>329</v>
      </c>
      <c r="C459" s="3" t="s">
        <v>347</v>
      </c>
      <c r="D459" s="3" t="s">
        <v>115</v>
      </c>
      <c r="E459" s="3" t="s">
        <v>328</v>
      </c>
    </row>
    <row r="460">
      <c r="A460" s="23">
        <v>45889.554170821764</v>
      </c>
      <c r="B460" s="3" t="s">
        <v>329</v>
      </c>
      <c r="C460" s="3" t="s">
        <v>415</v>
      </c>
      <c r="D460" s="3" t="s">
        <v>436</v>
      </c>
      <c r="E460" s="3" t="s">
        <v>328</v>
      </c>
    </row>
    <row r="461">
      <c r="A461" s="23">
        <v>45889.55417391204</v>
      </c>
      <c r="B461" s="3" t="s">
        <v>329</v>
      </c>
      <c r="C461" s="3" t="s">
        <v>349</v>
      </c>
      <c r="D461" s="3" t="s">
        <v>115</v>
      </c>
      <c r="E461" s="3" t="s">
        <v>328</v>
      </c>
    </row>
    <row r="462">
      <c r="A462" s="23">
        <v>45889.55418074074</v>
      </c>
      <c r="B462" s="3" t="s">
        <v>329</v>
      </c>
      <c r="C462" s="3" t="s">
        <v>426</v>
      </c>
      <c r="D462" s="3" t="s">
        <v>115</v>
      </c>
      <c r="E462" s="3" t="s">
        <v>328</v>
      </c>
    </row>
    <row r="463">
      <c r="A463" s="23">
        <v>45889.55418364583</v>
      </c>
      <c r="B463" s="3" t="s">
        <v>329</v>
      </c>
      <c r="C463" s="3" t="s">
        <v>352</v>
      </c>
      <c r="D463" s="3" t="s">
        <v>115</v>
      </c>
      <c r="E463" s="3" t="s">
        <v>328</v>
      </c>
    </row>
    <row r="464">
      <c r="A464" s="23">
        <v>45889.55423146991</v>
      </c>
      <c r="B464" s="3" t="s">
        <v>329</v>
      </c>
      <c r="C464" s="3" t="s">
        <v>431</v>
      </c>
      <c r="D464" s="3" t="s">
        <v>115</v>
      </c>
      <c r="E464" s="3" t="s">
        <v>328</v>
      </c>
    </row>
    <row r="465">
      <c r="A465" s="23">
        <v>45889.554247754626</v>
      </c>
      <c r="B465" s="3" t="s">
        <v>329</v>
      </c>
      <c r="C465" s="66" t="str">
        <f>== Finance automation process completed successfully in 31s ===</f>
        <v>#ERROR!</v>
      </c>
      <c r="D465" s="3" t="s">
        <v>115</v>
      </c>
      <c r="E465" s="3" t="s">
        <v>328</v>
      </c>
    </row>
    <row r="466">
      <c r="A466" s="23">
        <v>45889.56554037037</v>
      </c>
      <c r="B466" s="3" t="s">
        <v>329</v>
      </c>
      <c r="C466" s="66" t="str">
        <f>== Starting complete finance automation process ===</f>
        <v>#ERROR!</v>
      </c>
      <c r="D466" s="3" t="s">
        <v>115</v>
      </c>
      <c r="E466" s="3" t="s">
        <v>328</v>
      </c>
    </row>
    <row r="467">
      <c r="A467" s="23">
        <v>45889.56555357639</v>
      </c>
      <c r="B467" s="3" t="s">
        <v>329</v>
      </c>
      <c r="C467" s="3" t="s">
        <v>336</v>
      </c>
      <c r="D467" s="3" t="s">
        <v>115</v>
      </c>
      <c r="E467" s="3" t="s">
        <v>328</v>
      </c>
    </row>
    <row r="468">
      <c r="A468" s="23">
        <v>45889.56558039352</v>
      </c>
      <c r="B468" s="3" t="s">
        <v>329</v>
      </c>
      <c r="C468" s="3" t="s">
        <v>337</v>
      </c>
      <c r="D468" s="3" t="s">
        <v>115</v>
      </c>
      <c r="E468" s="3" t="s">
        <v>328</v>
      </c>
    </row>
    <row r="469">
      <c r="A469" s="23">
        <v>45889.56559587963</v>
      </c>
      <c r="B469" s="3" t="s">
        <v>329</v>
      </c>
      <c r="C469" s="3" t="s">
        <v>437</v>
      </c>
      <c r="D469" s="3" t="s">
        <v>115</v>
      </c>
      <c r="E469" s="3" t="s">
        <v>328</v>
      </c>
    </row>
    <row r="470">
      <c r="A470" s="23">
        <v>45889.5655992824</v>
      </c>
      <c r="B470" s="3" t="s">
        <v>329</v>
      </c>
      <c r="C470" s="3" t="s">
        <v>438</v>
      </c>
      <c r="D470" s="3" t="s">
        <v>439</v>
      </c>
      <c r="E470" s="3" t="s">
        <v>328</v>
      </c>
    </row>
    <row r="471">
      <c r="A471" s="23">
        <v>45889.56560203704</v>
      </c>
      <c r="B471" s="3" t="s">
        <v>329</v>
      </c>
      <c r="C471" s="3" t="s">
        <v>440</v>
      </c>
      <c r="D471" s="3" t="s">
        <v>441</v>
      </c>
      <c r="E471" s="3" t="s">
        <v>328</v>
      </c>
    </row>
    <row r="472">
      <c r="A472" s="23">
        <v>45889.565632673606</v>
      </c>
      <c r="B472" s="3" t="s">
        <v>329</v>
      </c>
      <c r="C472" s="3" t="s">
        <v>338</v>
      </c>
      <c r="D472" s="3" t="s">
        <v>442</v>
      </c>
      <c r="E472" s="3" t="s">
        <v>328</v>
      </c>
    </row>
    <row r="473">
      <c r="A473" s="23">
        <v>45889.565635810184</v>
      </c>
      <c r="B473" s="3" t="s">
        <v>329</v>
      </c>
      <c r="C473" s="3" t="s">
        <v>340</v>
      </c>
      <c r="D473" s="3" t="s">
        <v>115</v>
      </c>
      <c r="E473" s="3" t="s">
        <v>328</v>
      </c>
    </row>
    <row r="474">
      <c r="A474" s="23">
        <v>45889.56565207176</v>
      </c>
      <c r="B474" s="3" t="s">
        <v>329</v>
      </c>
      <c r="C474" s="3" t="s">
        <v>341</v>
      </c>
      <c r="D474" s="3" t="s">
        <v>115</v>
      </c>
      <c r="E474" s="3" t="s">
        <v>328</v>
      </c>
    </row>
    <row r="475">
      <c r="A475" s="23">
        <v>45889.565655706014</v>
      </c>
      <c r="B475" s="3" t="s">
        <v>329</v>
      </c>
      <c r="C475" s="3" t="s">
        <v>342</v>
      </c>
      <c r="D475" s="3" t="s">
        <v>115</v>
      </c>
      <c r="E475" s="3" t="s">
        <v>328</v>
      </c>
    </row>
    <row r="476">
      <c r="A476" s="23">
        <v>45889.56565884259</v>
      </c>
      <c r="B476" s="3" t="s">
        <v>329</v>
      </c>
      <c r="C476" s="3" t="s">
        <v>343</v>
      </c>
      <c r="D476" s="3" t="s">
        <v>115</v>
      </c>
      <c r="E476" s="3" t="s">
        <v>328</v>
      </c>
    </row>
    <row r="477">
      <c r="A477" s="23">
        <v>45889.5656775463</v>
      </c>
      <c r="B477" s="3" t="s">
        <v>329</v>
      </c>
      <c r="C477" s="3" t="s">
        <v>443</v>
      </c>
      <c r="D477" s="3" t="s">
        <v>115</v>
      </c>
      <c r="E477" s="3" t="s">
        <v>328</v>
      </c>
    </row>
    <row r="478">
      <c r="A478" s="23">
        <v>45889.5656853125</v>
      </c>
      <c r="B478" s="3" t="s">
        <v>329</v>
      </c>
      <c r="C478" s="3" t="s">
        <v>419</v>
      </c>
      <c r="D478" s="3" t="s">
        <v>115</v>
      </c>
      <c r="E478" s="3" t="s">
        <v>328</v>
      </c>
    </row>
    <row r="479">
      <c r="A479" s="23">
        <v>45889.56569341435</v>
      </c>
      <c r="B479" s="3" t="s">
        <v>329</v>
      </c>
      <c r="C479" s="3" t="s">
        <v>444</v>
      </c>
      <c r="D479" s="3" t="s">
        <v>115</v>
      </c>
      <c r="E479" s="3" t="s">
        <v>328</v>
      </c>
    </row>
    <row r="480">
      <c r="A480" s="23">
        <v>45889.56572561343</v>
      </c>
      <c r="B480" s="3" t="s">
        <v>329</v>
      </c>
      <c r="C480" s="3" t="s">
        <v>421</v>
      </c>
      <c r="D480" s="3" t="s">
        <v>115</v>
      </c>
      <c r="E480" s="3" t="s">
        <v>328</v>
      </c>
    </row>
    <row r="481">
      <c r="A481" s="23">
        <v>45889.56573311343</v>
      </c>
      <c r="B481" s="3" t="s">
        <v>329</v>
      </c>
      <c r="C481" s="3" t="s">
        <v>422</v>
      </c>
      <c r="D481" s="3" t="s">
        <v>115</v>
      </c>
      <c r="E481" s="3" t="s">
        <v>328</v>
      </c>
    </row>
    <row r="482">
      <c r="A482" s="23">
        <v>45889.5657571412</v>
      </c>
      <c r="B482" s="3" t="s">
        <v>329</v>
      </c>
      <c r="C482" s="3" t="s">
        <v>434</v>
      </c>
      <c r="D482" s="3" t="s">
        <v>115</v>
      </c>
      <c r="E482" s="3" t="s">
        <v>328</v>
      </c>
    </row>
    <row r="483">
      <c r="A483" s="23">
        <v>45889.5657846875</v>
      </c>
      <c r="B483" s="3" t="s">
        <v>329</v>
      </c>
      <c r="C483" s="3" t="s">
        <v>435</v>
      </c>
      <c r="D483" s="3" t="s">
        <v>115</v>
      </c>
      <c r="E483" s="3" t="s">
        <v>328</v>
      </c>
    </row>
    <row r="484">
      <c r="A484" s="23">
        <v>45889.565867418976</v>
      </c>
      <c r="B484" s="3" t="s">
        <v>329</v>
      </c>
      <c r="C484" s="3" t="s">
        <v>345</v>
      </c>
      <c r="D484" s="3" t="s">
        <v>115</v>
      </c>
      <c r="E484" s="3" t="s">
        <v>328</v>
      </c>
    </row>
    <row r="485">
      <c r="A485" s="23">
        <v>45889.56587041667</v>
      </c>
      <c r="B485" s="3" t="s">
        <v>329</v>
      </c>
      <c r="C485" s="3" t="s">
        <v>413</v>
      </c>
      <c r="D485" s="3" t="s">
        <v>115</v>
      </c>
      <c r="E485" s="3" t="s">
        <v>328</v>
      </c>
    </row>
    <row r="486">
      <c r="A486" s="23">
        <v>45889.56587318287</v>
      </c>
      <c r="B486" s="3" t="s">
        <v>329</v>
      </c>
      <c r="C486" s="3" t="s">
        <v>347</v>
      </c>
      <c r="D486" s="3" t="s">
        <v>115</v>
      </c>
      <c r="E486" s="3" t="s">
        <v>328</v>
      </c>
    </row>
    <row r="487">
      <c r="A487" s="23">
        <v>45889.565882083334</v>
      </c>
      <c r="B487" s="3" t="s">
        <v>329</v>
      </c>
      <c r="C487" s="3" t="s">
        <v>415</v>
      </c>
      <c r="D487" s="3" t="s">
        <v>445</v>
      </c>
      <c r="E487" s="3" t="s">
        <v>328</v>
      </c>
    </row>
    <row r="488">
      <c r="A488" s="23">
        <v>45889.56588539352</v>
      </c>
      <c r="B488" s="3" t="s">
        <v>329</v>
      </c>
      <c r="C488" s="3" t="s">
        <v>349</v>
      </c>
      <c r="D488" s="3" t="s">
        <v>115</v>
      </c>
      <c r="E488" s="3" t="s">
        <v>328</v>
      </c>
    </row>
    <row r="489">
      <c r="A489" s="23">
        <v>45889.56588886574</v>
      </c>
      <c r="B489" s="3" t="s">
        <v>329</v>
      </c>
      <c r="C489" s="3" t="s">
        <v>426</v>
      </c>
      <c r="D489" s="3" t="s">
        <v>115</v>
      </c>
      <c r="E489" s="3" t="s">
        <v>328</v>
      </c>
    </row>
    <row r="490">
      <c r="A490" s="23">
        <v>45889.565891770835</v>
      </c>
      <c r="B490" s="3" t="s">
        <v>329</v>
      </c>
      <c r="C490" s="3" t="s">
        <v>352</v>
      </c>
      <c r="D490" s="3" t="s">
        <v>115</v>
      </c>
      <c r="E490" s="3" t="s">
        <v>328</v>
      </c>
    </row>
    <row r="491">
      <c r="A491" s="23">
        <v>45889.56593085648</v>
      </c>
      <c r="B491" s="3" t="s">
        <v>329</v>
      </c>
      <c r="C491" s="3" t="s">
        <v>431</v>
      </c>
      <c r="D491" s="3" t="s">
        <v>115</v>
      </c>
      <c r="E491" s="3" t="s">
        <v>328</v>
      </c>
    </row>
    <row r="492">
      <c r="A492" s="23">
        <v>45889.56593327546</v>
      </c>
      <c r="B492" s="3" t="s">
        <v>329</v>
      </c>
      <c r="C492" s="66" t="str">
        <f>== Finance automation process completed successfully in 34s ===</f>
        <v>#ERROR!</v>
      </c>
      <c r="D492" s="3" t="s">
        <v>115</v>
      </c>
      <c r="E492" s="3" t="s">
        <v>328</v>
      </c>
    </row>
    <row r="493">
      <c r="A493" s="23">
        <v>45889.617685335645</v>
      </c>
      <c r="B493" s="3" t="s">
        <v>329</v>
      </c>
      <c r="C493" s="66" t="str">
        <f>== Starting complete finance automation process ===</f>
        <v>#ERROR!</v>
      </c>
      <c r="D493" s="3" t="s">
        <v>115</v>
      </c>
      <c r="E493" s="3" t="s">
        <v>328</v>
      </c>
    </row>
    <row r="494">
      <c r="A494" s="23">
        <v>45889.61770008102</v>
      </c>
      <c r="B494" s="3" t="s">
        <v>329</v>
      </c>
      <c r="C494" s="3" t="s">
        <v>336</v>
      </c>
      <c r="D494" s="3" t="s">
        <v>115</v>
      </c>
      <c r="E494" s="3" t="s">
        <v>328</v>
      </c>
    </row>
    <row r="495">
      <c r="A495" s="23">
        <v>45889.6177177662</v>
      </c>
      <c r="B495" s="3" t="s">
        <v>329</v>
      </c>
      <c r="C495" s="3" t="s">
        <v>337</v>
      </c>
      <c r="D495" s="3" t="s">
        <v>115</v>
      </c>
      <c r="E495" s="3" t="s">
        <v>328</v>
      </c>
    </row>
    <row r="496">
      <c r="A496" s="23">
        <v>45889.61776811343</v>
      </c>
      <c r="B496" s="3" t="s">
        <v>329</v>
      </c>
      <c r="C496" s="3" t="s">
        <v>338</v>
      </c>
      <c r="D496" s="3" t="s">
        <v>339</v>
      </c>
      <c r="E496" s="3" t="s">
        <v>328</v>
      </c>
    </row>
    <row r="497">
      <c r="A497" s="23">
        <v>45889.61778690972</v>
      </c>
      <c r="B497" s="3" t="s">
        <v>329</v>
      </c>
      <c r="C497" s="3" t="s">
        <v>340</v>
      </c>
      <c r="D497" s="3" t="s">
        <v>115</v>
      </c>
      <c r="E497" s="3" t="s">
        <v>328</v>
      </c>
    </row>
    <row r="498">
      <c r="A498" s="23">
        <v>45889.61779862268</v>
      </c>
      <c r="B498" s="3" t="s">
        <v>329</v>
      </c>
      <c r="C498" s="3" t="s">
        <v>341</v>
      </c>
      <c r="D498" s="3" t="s">
        <v>115</v>
      </c>
      <c r="E498" s="3" t="s">
        <v>328</v>
      </c>
    </row>
    <row r="499">
      <c r="A499" s="23">
        <v>45889.61780222222</v>
      </c>
      <c r="B499" s="3" t="s">
        <v>329</v>
      </c>
      <c r="C499" s="3" t="s">
        <v>342</v>
      </c>
      <c r="D499" s="3" t="s">
        <v>115</v>
      </c>
      <c r="E499" s="3" t="s">
        <v>328</v>
      </c>
    </row>
    <row r="500">
      <c r="A500" s="23">
        <v>45889.61782800926</v>
      </c>
      <c r="B500" s="3" t="s">
        <v>329</v>
      </c>
      <c r="C500" s="3" t="s">
        <v>343</v>
      </c>
      <c r="D500" s="3" t="s">
        <v>115</v>
      </c>
      <c r="E500" s="3" t="s">
        <v>328</v>
      </c>
    </row>
    <row r="501">
      <c r="A501" s="23">
        <v>45889.617855034725</v>
      </c>
      <c r="B501" s="3" t="s">
        <v>329</v>
      </c>
      <c r="C501" s="3" t="s">
        <v>446</v>
      </c>
      <c r="D501" s="3" t="s">
        <v>115</v>
      </c>
      <c r="E501" s="3" t="s">
        <v>328</v>
      </c>
    </row>
    <row r="502">
      <c r="A502" s="23">
        <v>45889.6178625926</v>
      </c>
      <c r="B502" s="3" t="s">
        <v>329</v>
      </c>
      <c r="C502" s="3" t="s">
        <v>419</v>
      </c>
      <c r="D502" s="3" t="s">
        <v>115</v>
      </c>
      <c r="E502" s="3" t="s">
        <v>328</v>
      </c>
    </row>
    <row r="503">
      <c r="A503" s="23">
        <v>45889.61788853009</v>
      </c>
      <c r="B503" s="3" t="s">
        <v>329</v>
      </c>
      <c r="C503" s="3" t="s">
        <v>447</v>
      </c>
      <c r="D503" s="3" t="s">
        <v>115</v>
      </c>
      <c r="E503" s="3" t="s">
        <v>328</v>
      </c>
    </row>
    <row r="504">
      <c r="A504" s="23">
        <v>45889.61792133102</v>
      </c>
      <c r="B504" s="3" t="s">
        <v>329</v>
      </c>
      <c r="C504" s="3" t="s">
        <v>421</v>
      </c>
      <c r="D504" s="3" t="s">
        <v>115</v>
      </c>
      <c r="E504" s="3" t="s">
        <v>328</v>
      </c>
    </row>
    <row r="505">
      <c r="A505" s="23">
        <v>45889.617928935186</v>
      </c>
      <c r="B505" s="3" t="s">
        <v>329</v>
      </c>
      <c r="C505" s="3" t="s">
        <v>422</v>
      </c>
      <c r="D505" s="3" t="s">
        <v>115</v>
      </c>
      <c r="E505" s="3" t="s">
        <v>328</v>
      </c>
    </row>
    <row r="506">
      <c r="A506" s="23">
        <v>45889.617958449075</v>
      </c>
      <c r="B506" s="3" t="s">
        <v>329</v>
      </c>
      <c r="C506" s="3" t="s">
        <v>434</v>
      </c>
      <c r="D506" s="3" t="s">
        <v>115</v>
      </c>
      <c r="E506" s="3" t="s">
        <v>328</v>
      </c>
    </row>
    <row r="507">
      <c r="A507" s="23">
        <v>45889.61798181713</v>
      </c>
      <c r="B507" s="3" t="s">
        <v>329</v>
      </c>
      <c r="C507" s="3" t="s">
        <v>435</v>
      </c>
      <c r="D507" s="3" t="s">
        <v>115</v>
      </c>
      <c r="E507" s="3" t="s">
        <v>328</v>
      </c>
    </row>
    <row r="508">
      <c r="A508" s="23">
        <v>45889.62231975695</v>
      </c>
      <c r="B508" s="3" t="s">
        <v>329</v>
      </c>
      <c r="C508" s="66" t="str">
        <f>== Starting complete finance automation process ===</f>
        <v>#ERROR!</v>
      </c>
      <c r="D508" s="3" t="s">
        <v>115</v>
      </c>
      <c r="E508" s="3" t="s">
        <v>328</v>
      </c>
    </row>
    <row r="509">
      <c r="A509" s="23">
        <v>45889.622328240745</v>
      </c>
      <c r="B509" s="3" t="s">
        <v>329</v>
      </c>
      <c r="C509" s="3" t="s">
        <v>336</v>
      </c>
      <c r="D509" s="3" t="s">
        <v>115</v>
      </c>
      <c r="E509" s="3" t="s">
        <v>328</v>
      </c>
    </row>
    <row r="510">
      <c r="A510" s="23">
        <v>45889.622351087964</v>
      </c>
      <c r="B510" s="3" t="s">
        <v>329</v>
      </c>
      <c r="C510" s="3" t="s">
        <v>337</v>
      </c>
      <c r="D510" s="3" t="s">
        <v>115</v>
      </c>
      <c r="E510" s="3" t="s">
        <v>328</v>
      </c>
    </row>
    <row r="511">
      <c r="A511" s="23">
        <v>45889.62237824074</v>
      </c>
      <c r="B511" s="3" t="s">
        <v>329</v>
      </c>
      <c r="C511" s="3" t="s">
        <v>338</v>
      </c>
      <c r="D511" s="3" t="s">
        <v>339</v>
      </c>
      <c r="E511" s="3" t="s">
        <v>328</v>
      </c>
    </row>
    <row r="512">
      <c r="A512" s="23">
        <v>45889.62238043982</v>
      </c>
      <c r="B512" s="3" t="s">
        <v>329</v>
      </c>
      <c r="C512" s="3" t="s">
        <v>340</v>
      </c>
      <c r="D512" s="3" t="s">
        <v>115</v>
      </c>
      <c r="E512" s="3" t="s">
        <v>328</v>
      </c>
    </row>
    <row r="513">
      <c r="A513" s="23">
        <v>45889.62238356481</v>
      </c>
      <c r="B513" s="3" t="s">
        <v>329</v>
      </c>
      <c r="C513" s="3" t="s">
        <v>341</v>
      </c>
      <c r="D513" s="3" t="s">
        <v>115</v>
      </c>
      <c r="E513" s="3" t="s">
        <v>328</v>
      </c>
    </row>
    <row r="514">
      <c r="A514" s="23">
        <v>45889.62238956019</v>
      </c>
      <c r="B514" s="3" t="s">
        <v>329</v>
      </c>
      <c r="C514" s="3" t="s">
        <v>342</v>
      </c>
      <c r="D514" s="3" t="s">
        <v>115</v>
      </c>
      <c r="E514" s="3" t="s">
        <v>328</v>
      </c>
    </row>
    <row r="515">
      <c r="A515" s="23">
        <v>45889.622391805555</v>
      </c>
      <c r="B515" s="3" t="s">
        <v>329</v>
      </c>
      <c r="C515" s="3" t="s">
        <v>343</v>
      </c>
      <c r="D515" s="3" t="s">
        <v>115</v>
      </c>
      <c r="E515" s="3" t="s">
        <v>328</v>
      </c>
    </row>
    <row r="516">
      <c r="A516" s="23">
        <v>45889.62241462963</v>
      </c>
      <c r="B516" s="3" t="s">
        <v>329</v>
      </c>
      <c r="C516" s="3" t="s">
        <v>448</v>
      </c>
      <c r="D516" s="3" t="s">
        <v>115</v>
      </c>
      <c r="E516" s="3" t="s">
        <v>328</v>
      </c>
    </row>
    <row r="517">
      <c r="A517" s="23">
        <v>45889.622425891204</v>
      </c>
      <c r="B517" s="3" t="s">
        <v>329</v>
      </c>
      <c r="C517" s="3" t="s">
        <v>419</v>
      </c>
      <c r="D517" s="3" t="s">
        <v>115</v>
      </c>
      <c r="E517" s="3" t="s">
        <v>328</v>
      </c>
    </row>
    <row r="518">
      <c r="A518" s="23">
        <v>45889.62243299768</v>
      </c>
      <c r="B518" s="3" t="s">
        <v>329</v>
      </c>
      <c r="C518" s="3" t="s">
        <v>429</v>
      </c>
      <c r="D518" s="3" t="s">
        <v>115</v>
      </c>
      <c r="E518" s="3" t="s">
        <v>328</v>
      </c>
    </row>
    <row r="519">
      <c r="A519" s="23">
        <v>45889.622463287036</v>
      </c>
      <c r="B519" s="3" t="s">
        <v>329</v>
      </c>
      <c r="C519" s="3" t="s">
        <v>421</v>
      </c>
      <c r="D519" s="3" t="s">
        <v>115</v>
      </c>
      <c r="E519" s="3" t="s">
        <v>328</v>
      </c>
    </row>
    <row r="520">
      <c r="A520" s="23">
        <v>45889.622470277776</v>
      </c>
      <c r="B520" s="3" t="s">
        <v>329</v>
      </c>
      <c r="C520" s="3" t="s">
        <v>422</v>
      </c>
      <c r="D520" s="3" t="s">
        <v>115</v>
      </c>
      <c r="E520" s="3" t="s">
        <v>328</v>
      </c>
    </row>
    <row r="521">
      <c r="A521" s="23">
        <v>45889.62249385417</v>
      </c>
      <c r="B521" s="3" t="s">
        <v>329</v>
      </c>
      <c r="C521" s="3" t="s">
        <v>434</v>
      </c>
      <c r="D521" s="3" t="s">
        <v>115</v>
      </c>
      <c r="E521" s="3" t="s">
        <v>328</v>
      </c>
    </row>
    <row r="522">
      <c r="A522" s="23">
        <v>45889.622516435185</v>
      </c>
      <c r="B522" s="3" t="s">
        <v>329</v>
      </c>
      <c r="C522" s="3" t="s">
        <v>435</v>
      </c>
      <c r="D522" s="3" t="s">
        <v>115</v>
      </c>
      <c r="E522" s="3" t="s">
        <v>328</v>
      </c>
    </row>
    <row r="523">
      <c r="A523" s="23">
        <v>45889.62696707176</v>
      </c>
      <c r="B523" s="3" t="s">
        <v>329</v>
      </c>
      <c r="C523" s="3" t="s">
        <v>335</v>
      </c>
      <c r="D523" s="3" t="s">
        <v>115</v>
      </c>
      <c r="E523" s="3" t="s">
        <v>328</v>
      </c>
    </row>
    <row r="524">
      <c r="A524" s="23">
        <v>45889.62708452546</v>
      </c>
      <c r="B524" s="3" t="s">
        <v>329</v>
      </c>
      <c r="C524" s="3" t="s">
        <v>446</v>
      </c>
      <c r="D524" s="3" t="s">
        <v>115</v>
      </c>
      <c r="E524" s="3" t="s">
        <v>328</v>
      </c>
    </row>
    <row r="525">
      <c r="A525" s="23">
        <v>45889.6270934375</v>
      </c>
      <c r="B525" s="3" t="s">
        <v>329</v>
      </c>
      <c r="C525" s="3" t="s">
        <v>419</v>
      </c>
      <c r="D525" s="3" t="s">
        <v>115</v>
      </c>
      <c r="E525" s="3" t="s">
        <v>328</v>
      </c>
    </row>
    <row r="526">
      <c r="A526" s="23">
        <v>45889.62710050926</v>
      </c>
      <c r="B526" s="3" t="s">
        <v>329</v>
      </c>
      <c r="C526" s="3" t="s">
        <v>447</v>
      </c>
      <c r="D526" s="3" t="s">
        <v>115</v>
      </c>
      <c r="E526" s="3" t="s">
        <v>328</v>
      </c>
    </row>
    <row r="527">
      <c r="A527" s="23">
        <v>45889.62712587963</v>
      </c>
      <c r="B527" s="3" t="s">
        <v>329</v>
      </c>
      <c r="C527" s="3" t="s">
        <v>421</v>
      </c>
      <c r="D527" s="3" t="s">
        <v>115</v>
      </c>
      <c r="E527" s="3" t="s">
        <v>328</v>
      </c>
    </row>
    <row r="528">
      <c r="A528" s="23">
        <v>45889.62713444444</v>
      </c>
      <c r="B528" s="3" t="s">
        <v>329</v>
      </c>
      <c r="C528" s="3" t="s">
        <v>422</v>
      </c>
      <c r="D528" s="3" t="s">
        <v>115</v>
      </c>
      <c r="E528" s="3" t="s">
        <v>328</v>
      </c>
    </row>
    <row r="529">
      <c r="A529" s="23">
        <v>45889.6271591088</v>
      </c>
      <c r="B529" s="3" t="s">
        <v>329</v>
      </c>
      <c r="C529" s="3" t="s">
        <v>434</v>
      </c>
      <c r="D529" s="3" t="s">
        <v>115</v>
      </c>
      <c r="E529" s="3" t="s">
        <v>328</v>
      </c>
    </row>
    <row r="530">
      <c r="A530" s="23">
        <v>45889.62718193287</v>
      </c>
      <c r="B530" s="3" t="s">
        <v>329</v>
      </c>
      <c r="C530" s="3" t="s">
        <v>435</v>
      </c>
      <c r="D530" s="3" t="s">
        <v>115</v>
      </c>
      <c r="E530" s="3" t="s">
        <v>328</v>
      </c>
    </row>
    <row r="531">
      <c r="A531" s="23">
        <v>45889.6272655787</v>
      </c>
      <c r="B531" s="3" t="s">
        <v>329</v>
      </c>
      <c r="C531" s="3" t="s">
        <v>446</v>
      </c>
      <c r="D531" s="3" t="s">
        <v>115</v>
      </c>
      <c r="E531" s="3" t="s">
        <v>328</v>
      </c>
    </row>
    <row r="532">
      <c r="A532" s="23">
        <v>45889.62727577546</v>
      </c>
      <c r="B532" s="3" t="s">
        <v>329</v>
      </c>
      <c r="C532" s="3" t="s">
        <v>419</v>
      </c>
      <c r="D532" s="3" t="s">
        <v>115</v>
      </c>
      <c r="E532" s="3" t="s">
        <v>328</v>
      </c>
    </row>
    <row r="533">
      <c r="A533" s="23">
        <v>45889.6272837963</v>
      </c>
      <c r="B533" s="3" t="s">
        <v>329</v>
      </c>
      <c r="C533" s="3" t="s">
        <v>447</v>
      </c>
      <c r="D533" s="3" t="s">
        <v>115</v>
      </c>
      <c r="E533" s="3" t="s">
        <v>328</v>
      </c>
    </row>
    <row r="534">
      <c r="A534" s="23">
        <v>45889.6273180787</v>
      </c>
      <c r="B534" s="3" t="s">
        <v>329</v>
      </c>
      <c r="C534" s="3" t="s">
        <v>421</v>
      </c>
      <c r="D534" s="3" t="s">
        <v>115</v>
      </c>
      <c r="E534" s="3" t="s">
        <v>328</v>
      </c>
    </row>
    <row r="535">
      <c r="A535" s="23">
        <v>45889.627326030095</v>
      </c>
      <c r="B535" s="3" t="s">
        <v>329</v>
      </c>
      <c r="C535" s="3" t="s">
        <v>422</v>
      </c>
      <c r="D535" s="3" t="s">
        <v>115</v>
      </c>
      <c r="E535" s="3" t="s">
        <v>328</v>
      </c>
    </row>
    <row r="536">
      <c r="A536" s="23">
        <v>45889.62736545139</v>
      </c>
      <c r="B536" s="3" t="s">
        <v>329</v>
      </c>
      <c r="C536" s="3" t="s">
        <v>434</v>
      </c>
      <c r="D536" s="3" t="s">
        <v>115</v>
      </c>
      <c r="E536" s="3" t="s">
        <v>328</v>
      </c>
    </row>
    <row r="537">
      <c r="A537" s="23">
        <v>45889.627389120375</v>
      </c>
      <c r="B537" s="3" t="s">
        <v>329</v>
      </c>
      <c r="C537" s="3" t="s">
        <v>435</v>
      </c>
      <c r="D537" s="3" t="s">
        <v>115</v>
      </c>
      <c r="E537" s="3" t="s">
        <v>328</v>
      </c>
    </row>
    <row r="538">
      <c r="A538" s="23">
        <v>45889.6738978588</v>
      </c>
      <c r="B538" s="3" t="s">
        <v>329</v>
      </c>
      <c r="C538" s="66" t="str">
        <f>== Starting complete finance automation process ===</f>
        <v>#ERROR!</v>
      </c>
      <c r="D538" s="3" t="s">
        <v>115</v>
      </c>
      <c r="E538" s="3" t="s">
        <v>328</v>
      </c>
    </row>
    <row r="539">
      <c r="A539" s="23">
        <v>45889.673906655094</v>
      </c>
      <c r="B539" s="3" t="s">
        <v>329</v>
      </c>
      <c r="C539" s="3" t="s">
        <v>336</v>
      </c>
      <c r="D539" s="3" t="s">
        <v>115</v>
      </c>
      <c r="E539" s="3" t="s">
        <v>328</v>
      </c>
    </row>
    <row r="540">
      <c r="A540" s="23">
        <v>45889.67392748843</v>
      </c>
      <c r="B540" s="3" t="s">
        <v>329</v>
      </c>
      <c r="C540" s="3" t="s">
        <v>337</v>
      </c>
      <c r="D540" s="3" t="s">
        <v>115</v>
      </c>
      <c r="E540" s="3" t="s">
        <v>328</v>
      </c>
    </row>
    <row r="541">
      <c r="A541" s="23">
        <v>45889.673957962965</v>
      </c>
      <c r="B541" s="3" t="s">
        <v>329</v>
      </c>
      <c r="C541" s="3" t="s">
        <v>338</v>
      </c>
      <c r="D541" s="3" t="s">
        <v>339</v>
      </c>
      <c r="E541" s="3" t="s">
        <v>328</v>
      </c>
    </row>
    <row r="542">
      <c r="A542" s="23">
        <v>45889.673964444446</v>
      </c>
      <c r="B542" s="3" t="s">
        <v>329</v>
      </c>
      <c r="C542" s="3" t="s">
        <v>340</v>
      </c>
      <c r="D542" s="3" t="s">
        <v>115</v>
      </c>
      <c r="E542" s="3" t="s">
        <v>328</v>
      </c>
    </row>
    <row r="543">
      <c r="A543" s="23">
        <v>45889.67396797454</v>
      </c>
      <c r="B543" s="3" t="s">
        <v>329</v>
      </c>
      <c r="C543" s="3" t="s">
        <v>341</v>
      </c>
      <c r="D543" s="3" t="s">
        <v>115</v>
      </c>
      <c r="E543" s="3" t="s">
        <v>328</v>
      </c>
    </row>
    <row r="544">
      <c r="A544" s="23">
        <v>45889.67397181713</v>
      </c>
      <c r="B544" s="3" t="s">
        <v>329</v>
      </c>
      <c r="C544" s="3" t="s">
        <v>342</v>
      </c>
      <c r="D544" s="3" t="s">
        <v>115</v>
      </c>
      <c r="E544" s="3" t="s">
        <v>328</v>
      </c>
    </row>
    <row r="545">
      <c r="A545" s="23">
        <v>45889.673974062505</v>
      </c>
      <c r="B545" s="3" t="s">
        <v>329</v>
      </c>
      <c r="C545" s="3" t="s">
        <v>343</v>
      </c>
      <c r="D545" s="3" t="s">
        <v>115</v>
      </c>
      <c r="E545" s="3" t="s">
        <v>328</v>
      </c>
    </row>
    <row r="546">
      <c r="A546" s="23">
        <v>45889.67399114583</v>
      </c>
      <c r="B546" s="3" t="s">
        <v>329</v>
      </c>
      <c r="C546" s="3" t="s">
        <v>449</v>
      </c>
      <c r="D546" s="3" t="s">
        <v>115</v>
      </c>
      <c r="E546" s="3" t="s">
        <v>328</v>
      </c>
    </row>
    <row r="547">
      <c r="A547" s="23">
        <v>45889.67399787037</v>
      </c>
      <c r="B547" s="3" t="s">
        <v>329</v>
      </c>
      <c r="C547" s="3" t="s">
        <v>419</v>
      </c>
      <c r="D547" s="3" t="s">
        <v>115</v>
      </c>
      <c r="E547" s="3" t="s">
        <v>328</v>
      </c>
    </row>
    <row r="548">
      <c r="A548" s="23">
        <v>45889.67400623843</v>
      </c>
      <c r="B548" s="3" t="s">
        <v>329</v>
      </c>
      <c r="C548" s="3" t="s">
        <v>450</v>
      </c>
      <c r="D548" s="3" t="s">
        <v>115</v>
      </c>
      <c r="E548" s="3" t="s">
        <v>328</v>
      </c>
    </row>
    <row r="549">
      <c r="A549" s="23">
        <v>45889.67403328704</v>
      </c>
      <c r="B549" s="3" t="s">
        <v>329</v>
      </c>
      <c r="C549" s="3" t="s">
        <v>421</v>
      </c>
      <c r="D549" s="3" t="s">
        <v>115</v>
      </c>
      <c r="E549" s="3" t="s">
        <v>328</v>
      </c>
    </row>
    <row r="550">
      <c r="A550" s="23">
        <v>45889.67404081019</v>
      </c>
      <c r="B550" s="3" t="s">
        <v>329</v>
      </c>
      <c r="C550" s="3" t="s">
        <v>451</v>
      </c>
      <c r="D550" s="3" t="s">
        <v>115</v>
      </c>
      <c r="E550" s="3" t="s">
        <v>328</v>
      </c>
    </row>
    <row r="551">
      <c r="A551" s="23">
        <v>45889.674073437505</v>
      </c>
      <c r="B551" s="3" t="s">
        <v>329</v>
      </c>
      <c r="C551" s="3" t="s">
        <v>434</v>
      </c>
      <c r="D551" s="3" t="s">
        <v>115</v>
      </c>
      <c r="E551" s="3" t="s">
        <v>328</v>
      </c>
    </row>
    <row r="552">
      <c r="A552" s="23">
        <v>45889.6740978125</v>
      </c>
      <c r="B552" s="3" t="s">
        <v>329</v>
      </c>
      <c r="C552" s="3" t="s">
        <v>435</v>
      </c>
      <c r="D552" s="3" t="s">
        <v>115</v>
      </c>
      <c r="E552" s="3" t="s">
        <v>328</v>
      </c>
    </row>
    <row r="553">
      <c r="A553" s="23">
        <v>45889.674136064816</v>
      </c>
      <c r="B553" s="3" t="s">
        <v>329</v>
      </c>
      <c r="C553" s="3" t="s">
        <v>345</v>
      </c>
      <c r="D553" s="3" t="s">
        <v>115</v>
      </c>
      <c r="E553" s="3" t="s">
        <v>328</v>
      </c>
    </row>
    <row r="554">
      <c r="A554" s="23">
        <v>45889.67413863426</v>
      </c>
      <c r="B554" s="3" t="s">
        <v>329</v>
      </c>
      <c r="C554" s="3" t="s">
        <v>413</v>
      </c>
      <c r="D554" s="3" t="s">
        <v>115</v>
      </c>
      <c r="E554" s="3" t="s">
        <v>328</v>
      </c>
    </row>
    <row r="555">
      <c r="A555" s="23">
        <v>45889.67414103009</v>
      </c>
      <c r="B555" s="3" t="s">
        <v>329</v>
      </c>
      <c r="C555" s="3" t="s">
        <v>347</v>
      </c>
      <c r="D555" s="3" t="s">
        <v>115</v>
      </c>
      <c r="E555" s="3" t="s">
        <v>328</v>
      </c>
    </row>
    <row r="556">
      <c r="A556" s="23">
        <v>45889.67415018519</v>
      </c>
      <c r="B556" s="3" t="s">
        <v>329</v>
      </c>
      <c r="C556" s="3" t="s">
        <v>415</v>
      </c>
      <c r="D556" s="3" t="s">
        <v>452</v>
      </c>
      <c r="E556" s="3" t="s">
        <v>328</v>
      </c>
    </row>
    <row r="557">
      <c r="A557" s="23">
        <v>45889.67415255787</v>
      </c>
      <c r="B557" s="3" t="s">
        <v>329</v>
      </c>
      <c r="C557" s="3" t="s">
        <v>349</v>
      </c>
      <c r="D557" s="3" t="s">
        <v>115</v>
      </c>
      <c r="E557" s="3" t="s">
        <v>328</v>
      </c>
    </row>
    <row r="558">
      <c r="A558" s="23">
        <v>45889.67415611111</v>
      </c>
      <c r="B558" s="3" t="s">
        <v>329</v>
      </c>
      <c r="C558" s="3" t="s">
        <v>426</v>
      </c>
      <c r="D558" s="3" t="s">
        <v>115</v>
      </c>
      <c r="E558" s="3" t="s">
        <v>328</v>
      </c>
    </row>
    <row r="559">
      <c r="A559" s="23">
        <v>45889.67415894676</v>
      </c>
      <c r="B559" s="3" t="s">
        <v>329</v>
      </c>
      <c r="C559" s="3" t="s">
        <v>352</v>
      </c>
      <c r="D559" s="3" t="s">
        <v>115</v>
      </c>
      <c r="E559" s="3" t="s">
        <v>328</v>
      </c>
    </row>
    <row r="560">
      <c r="A560" s="23">
        <v>45889.674185682874</v>
      </c>
      <c r="B560" s="3" t="s">
        <v>329</v>
      </c>
      <c r="C560" s="3" t="s">
        <v>431</v>
      </c>
      <c r="D560" s="3" t="s">
        <v>115</v>
      </c>
      <c r="E560" s="3" t="s">
        <v>328</v>
      </c>
    </row>
    <row r="561">
      <c r="A561" s="23">
        <v>45889.67418804398</v>
      </c>
      <c r="B561" s="3" t="s">
        <v>329</v>
      </c>
      <c r="C561" s="66" t="str">
        <f>== Finance automation process completed successfully in 25s ===</f>
        <v>#ERROR!</v>
      </c>
      <c r="D561" s="3" t="s">
        <v>115</v>
      </c>
      <c r="E561" s="3" t="s">
        <v>328</v>
      </c>
    </row>
    <row r="562">
      <c r="A562" s="23">
        <v>45889.70020878472</v>
      </c>
      <c r="B562" s="3" t="s">
        <v>329</v>
      </c>
      <c r="C562" s="66" t="str">
        <f>== Starting complete finance automation process ===</f>
        <v>#ERROR!</v>
      </c>
      <c r="D562" s="3" t="s">
        <v>115</v>
      </c>
      <c r="E562" s="3" t="s">
        <v>328</v>
      </c>
    </row>
    <row r="563">
      <c r="A563" s="23">
        <v>45889.70022083333</v>
      </c>
      <c r="B563" s="3" t="s">
        <v>329</v>
      </c>
      <c r="C563" s="3" t="s">
        <v>336</v>
      </c>
      <c r="D563" s="3" t="s">
        <v>115</v>
      </c>
      <c r="E563" s="3" t="s">
        <v>328</v>
      </c>
    </row>
    <row r="564">
      <c r="A564" s="23">
        <v>45889.700239756945</v>
      </c>
      <c r="B564" s="3" t="s">
        <v>329</v>
      </c>
      <c r="C564" s="3" t="s">
        <v>337</v>
      </c>
      <c r="D564" s="3" t="s">
        <v>115</v>
      </c>
      <c r="E564" s="3" t="s">
        <v>328</v>
      </c>
    </row>
    <row r="565">
      <c r="A565" s="23">
        <v>45889.700269988425</v>
      </c>
      <c r="B565" s="3" t="s">
        <v>329</v>
      </c>
      <c r="C565" s="3" t="s">
        <v>338</v>
      </c>
      <c r="D565" s="3" t="s">
        <v>339</v>
      </c>
      <c r="E565" s="3" t="s">
        <v>328</v>
      </c>
    </row>
    <row r="566">
      <c r="A566" s="23">
        <v>45889.70027288195</v>
      </c>
      <c r="B566" s="3" t="s">
        <v>329</v>
      </c>
      <c r="C566" s="3" t="s">
        <v>340</v>
      </c>
      <c r="D566" s="3" t="s">
        <v>115</v>
      </c>
      <c r="E566" s="3" t="s">
        <v>328</v>
      </c>
    </row>
    <row r="567">
      <c r="A567" s="23">
        <v>45889.70027678241</v>
      </c>
      <c r="B567" s="3" t="s">
        <v>329</v>
      </c>
      <c r="C567" s="3" t="s">
        <v>341</v>
      </c>
      <c r="D567" s="3" t="s">
        <v>115</v>
      </c>
      <c r="E567" s="3" t="s">
        <v>328</v>
      </c>
    </row>
    <row r="568">
      <c r="A568" s="23">
        <v>45889.7002812037</v>
      </c>
      <c r="B568" s="3" t="s">
        <v>329</v>
      </c>
      <c r="C568" s="3" t="s">
        <v>342</v>
      </c>
      <c r="D568" s="3" t="s">
        <v>115</v>
      </c>
      <c r="E568" s="3" t="s">
        <v>328</v>
      </c>
    </row>
    <row r="569">
      <c r="A569" s="23">
        <v>45889.700301875</v>
      </c>
      <c r="B569" s="3" t="s">
        <v>329</v>
      </c>
      <c r="C569" s="3" t="s">
        <v>343</v>
      </c>
      <c r="D569" s="3" t="s">
        <v>115</v>
      </c>
      <c r="E569" s="3" t="s">
        <v>328</v>
      </c>
    </row>
    <row r="570">
      <c r="A570" s="23">
        <v>45889.70033258102</v>
      </c>
      <c r="B570" s="3" t="s">
        <v>329</v>
      </c>
      <c r="C570" s="3" t="s">
        <v>453</v>
      </c>
      <c r="D570" s="3" t="s">
        <v>115</v>
      </c>
      <c r="E570" s="3" t="s">
        <v>328</v>
      </c>
    </row>
    <row r="571">
      <c r="A571" s="23">
        <v>45889.70034096065</v>
      </c>
      <c r="B571" s="3" t="s">
        <v>329</v>
      </c>
      <c r="C571" s="3" t="s">
        <v>419</v>
      </c>
      <c r="D571" s="3" t="s">
        <v>115</v>
      </c>
      <c r="E571" s="3" t="s">
        <v>328</v>
      </c>
    </row>
    <row r="572">
      <c r="A572" s="23">
        <v>45889.70034976852</v>
      </c>
      <c r="B572" s="3" t="s">
        <v>329</v>
      </c>
      <c r="C572" s="3" t="s">
        <v>450</v>
      </c>
      <c r="D572" s="3" t="s">
        <v>115</v>
      </c>
      <c r="E572" s="3" t="s">
        <v>328</v>
      </c>
    </row>
    <row r="573">
      <c r="A573" s="23">
        <v>45889.700367893514</v>
      </c>
      <c r="B573" s="3" t="s">
        <v>329</v>
      </c>
      <c r="C573" s="3" t="s">
        <v>335</v>
      </c>
      <c r="D573" s="3" t="s">
        <v>115</v>
      </c>
      <c r="E573" s="3" t="s">
        <v>328</v>
      </c>
    </row>
    <row r="574">
      <c r="A574" s="23">
        <v>45889.7003784838</v>
      </c>
      <c r="B574" s="3" t="s">
        <v>329</v>
      </c>
      <c r="C574" s="3" t="s">
        <v>421</v>
      </c>
      <c r="D574" s="3" t="s">
        <v>115</v>
      </c>
      <c r="E574" s="3" t="s">
        <v>328</v>
      </c>
    </row>
    <row r="575">
      <c r="A575" s="23">
        <v>45889.7003875463</v>
      </c>
      <c r="B575" s="3" t="s">
        <v>329</v>
      </c>
      <c r="C575" s="3" t="s">
        <v>451</v>
      </c>
      <c r="D575" s="3" t="s">
        <v>115</v>
      </c>
      <c r="E575" s="3" t="s">
        <v>328</v>
      </c>
    </row>
    <row r="576">
      <c r="A576" s="23">
        <v>45889.70041160879</v>
      </c>
      <c r="B576" s="3" t="s">
        <v>329</v>
      </c>
      <c r="C576" s="3" t="s">
        <v>434</v>
      </c>
      <c r="D576" s="3" t="s">
        <v>115</v>
      </c>
      <c r="E576" s="3" t="s">
        <v>328</v>
      </c>
    </row>
    <row r="577">
      <c r="A577" s="23">
        <v>45889.70042193287</v>
      </c>
      <c r="B577" s="3" t="s">
        <v>329</v>
      </c>
      <c r="C577" s="66" t="str">
        <f>== Starting complete finance automation process ===</f>
        <v>#ERROR!</v>
      </c>
      <c r="D577" s="3" t="s">
        <v>115</v>
      </c>
      <c r="E577" s="3" t="s">
        <v>328</v>
      </c>
    </row>
    <row r="578">
      <c r="A578" s="23">
        <v>45889.7004300463</v>
      </c>
      <c r="B578" s="3" t="s">
        <v>329</v>
      </c>
      <c r="C578" s="3" t="s">
        <v>336</v>
      </c>
      <c r="D578" s="3" t="s">
        <v>115</v>
      </c>
      <c r="E578" s="3" t="s">
        <v>328</v>
      </c>
    </row>
    <row r="579">
      <c r="A579" s="23">
        <v>45889.700434583334</v>
      </c>
      <c r="B579" s="3" t="s">
        <v>329</v>
      </c>
      <c r="C579" s="3" t="s">
        <v>435</v>
      </c>
      <c r="D579" s="3" t="s">
        <v>115</v>
      </c>
      <c r="E579" s="3" t="s">
        <v>328</v>
      </c>
    </row>
    <row r="580">
      <c r="A580" s="23">
        <v>45889.700446574076</v>
      </c>
      <c r="B580" s="3" t="s">
        <v>329</v>
      </c>
      <c r="C580" s="3" t="s">
        <v>337</v>
      </c>
      <c r="D580" s="3" t="s">
        <v>115</v>
      </c>
      <c r="E580" s="3" t="s">
        <v>328</v>
      </c>
    </row>
    <row r="581">
      <c r="A581" s="23">
        <v>45889.70047347222</v>
      </c>
      <c r="B581" s="3" t="s">
        <v>329</v>
      </c>
      <c r="C581" s="3" t="s">
        <v>338</v>
      </c>
      <c r="D581" s="3" t="s">
        <v>339</v>
      </c>
      <c r="E581" s="3" t="s">
        <v>328</v>
      </c>
    </row>
    <row r="582">
      <c r="A582" s="23">
        <v>45889.70047597222</v>
      </c>
      <c r="B582" s="3" t="s">
        <v>329</v>
      </c>
      <c r="C582" s="3" t="s">
        <v>340</v>
      </c>
      <c r="D582" s="3" t="s">
        <v>115</v>
      </c>
      <c r="E582" s="3" t="s">
        <v>328</v>
      </c>
    </row>
    <row r="583">
      <c r="A583" s="23">
        <v>45889.700479074076</v>
      </c>
      <c r="B583" s="3" t="s">
        <v>329</v>
      </c>
      <c r="C583" s="3" t="s">
        <v>341</v>
      </c>
      <c r="D583" s="3" t="s">
        <v>115</v>
      </c>
      <c r="E583" s="3" t="s">
        <v>328</v>
      </c>
    </row>
    <row r="584">
      <c r="A584" s="23">
        <v>45889.70048216435</v>
      </c>
      <c r="B584" s="3" t="s">
        <v>329</v>
      </c>
      <c r="C584" s="3" t="s">
        <v>342</v>
      </c>
      <c r="D584" s="3" t="s">
        <v>115</v>
      </c>
      <c r="E584" s="3" t="s">
        <v>328</v>
      </c>
    </row>
    <row r="585">
      <c r="A585" s="23">
        <v>45889.700493958335</v>
      </c>
      <c r="B585" s="3" t="s">
        <v>329</v>
      </c>
      <c r="C585" s="3" t="s">
        <v>343</v>
      </c>
      <c r="D585" s="3" t="s">
        <v>115</v>
      </c>
      <c r="E585" s="3" t="s">
        <v>328</v>
      </c>
    </row>
    <row r="586">
      <c r="A586" s="23">
        <v>45889.70051701389</v>
      </c>
      <c r="B586" s="3" t="s">
        <v>329</v>
      </c>
      <c r="C586" s="3" t="s">
        <v>453</v>
      </c>
      <c r="D586" s="3" t="s">
        <v>115</v>
      </c>
      <c r="E586" s="3" t="s">
        <v>328</v>
      </c>
    </row>
    <row r="587">
      <c r="A587" s="23">
        <v>45889.70053212963</v>
      </c>
      <c r="B587" s="3" t="s">
        <v>329</v>
      </c>
      <c r="C587" s="3" t="s">
        <v>419</v>
      </c>
      <c r="D587" s="3" t="s">
        <v>115</v>
      </c>
      <c r="E587" s="3" t="s">
        <v>328</v>
      </c>
    </row>
    <row r="588">
      <c r="A588" s="23">
        <v>45889.700538854166</v>
      </c>
      <c r="B588" s="3" t="s">
        <v>329</v>
      </c>
      <c r="C588" s="3" t="s">
        <v>450</v>
      </c>
      <c r="D588" s="3" t="s">
        <v>115</v>
      </c>
      <c r="E588" s="3" t="s">
        <v>328</v>
      </c>
    </row>
    <row r="589">
      <c r="A589" s="23">
        <v>45889.700566087966</v>
      </c>
      <c r="B589" s="3" t="s">
        <v>329</v>
      </c>
      <c r="C589" s="3" t="s">
        <v>421</v>
      </c>
      <c r="D589" s="3" t="s">
        <v>115</v>
      </c>
      <c r="E589" s="3" t="s">
        <v>328</v>
      </c>
    </row>
    <row r="590">
      <c r="A590" s="23">
        <v>45889.70057259259</v>
      </c>
      <c r="B590" s="3" t="s">
        <v>329</v>
      </c>
      <c r="C590" s="3" t="s">
        <v>451</v>
      </c>
      <c r="D590" s="3" t="s">
        <v>115</v>
      </c>
      <c r="E590" s="3" t="s">
        <v>328</v>
      </c>
    </row>
    <row r="591">
      <c r="A591" s="23">
        <v>45889.70059395833</v>
      </c>
      <c r="B591" s="3" t="s">
        <v>329</v>
      </c>
      <c r="C591" s="3" t="s">
        <v>434</v>
      </c>
      <c r="D591" s="3" t="s">
        <v>115</v>
      </c>
      <c r="E591" s="3" t="s">
        <v>328</v>
      </c>
    </row>
    <row r="592">
      <c r="A592" s="23">
        <v>45889.70060949074</v>
      </c>
      <c r="B592" s="3" t="s">
        <v>329</v>
      </c>
      <c r="C592" s="3" t="s">
        <v>435</v>
      </c>
      <c r="D592" s="3" t="s">
        <v>115</v>
      </c>
      <c r="E592" s="3" t="s">
        <v>328</v>
      </c>
    </row>
    <row r="593">
      <c r="A593" s="23">
        <v>45889.700646006946</v>
      </c>
      <c r="B593" s="3" t="s">
        <v>329</v>
      </c>
      <c r="C593" s="3" t="s">
        <v>345</v>
      </c>
      <c r="D593" s="3" t="s">
        <v>115</v>
      </c>
      <c r="E593" s="3" t="s">
        <v>328</v>
      </c>
    </row>
    <row r="594">
      <c r="A594" s="23">
        <v>45889.70064811343</v>
      </c>
      <c r="B594" s="3" t="s">
        <v>329</v>
      </c>
      <c r="C594" s="3" t="s">
        <v>413</v>
      </c>
      <c r="D594" s="3" t="s">
        <v>115</v>
      </c>
      <c r="E594" s="3" t="s">
        <v>328</v>
      </c>
    </row>
    <row r="595">
      <c r="A595" s="23">
        <v>45889.70065021991</v>
      </c>
      <c r="B595" s="3" t="s">
        <v>329</v>
      </c>
      <c r="C595" s="3" t="s">
        <v>347</v>
      </c>
      <c r="D595" s="3" t="s">
        <v>115</v>
      </c>
      <c r="E595" s="3" t="s">
        <v>328</v>
      </c>
    </row>
    <row r="596">
      <c r="A596" s="23">
        <v>45889.70065604166</v>
      </c>
      <c r="B596" s="3" t="s">
        <v>329</v>
      </c>
      <c r="C596" s="3" t="s">
        <v>415</v>
      </c>
      <c r="D596" s="3" t="s">
        <v>454</v>
      </c>
      <c r="E596" s="3" t="s">
        <v>328</v>
      </c>
    </row>
    <row r="597">
      <c r="A597" s="23">
        <v>45889.700658263886</v>
      </c>
      <c r="B597" s="3" t="s">
        <v>329</v>
      </c>
      <c r="C597" s="3" t="s">
        <v>349</v>
      </c>
      <c r="D597" s="3" t="s">
        <v>115</v>
      </c>
      <c r="E597" s="3" t="s">
        <v>328</v>
      </c>
    </row>
    <row r="598">
      <c r="A598" s="23">
        <v>45889.70066091436</v>
      </c>
      <c r="B598" s="3" t="s">
        <v>329</v>
      </c>
      <c r="C598" s="3" t="s">
        <v>426</v>
      </c>
      <c r="D598" s="3" t="s">
        <v>115</v>
      </c>
      <c r="E598" s="3" t="s">
        <v>328</v>
      </c>
    </row>
    <row r="599">
      <c r="A599" s="23">
        <v>45889.70066408565</v>
      </c>
      <c r="B599" s="3" t="s">
        <v>329</v>
      </c>
      <c r="C599" s="3" t="s">
        <v>352</v>
      </c>
      <c r="D599" s="3" t="s">
        <v>115</v>
      </c>
      <c r="E599" s="3" t="s">
        <v>328</v>
      </c>
    </row>
    <row r="600">
      <c r="A600" s="23">
        <v>45889.70068649306</v>
      </c>
      <c r="B600" s="3" t="s">
        <v>329</v>
      </c>
      <c r="C600" s="3" t="s">
        <v>431</v>
      </c>
      <c r="D600" s="3" t="s">
        <v>115</v>
      </c>
      <c r="E600" s="3" t="s">
        <v>328</v>
      </c>
    </row>
    <row r="601">
      <c r="A601" s="23">
        <v>45889.70069010417</v>
      </c>
      <c r="B601" s="3" t="s">
        <v>329</v>
      </c>
      <c r="C601" s="66" t="str">
        <f>== Finance automation process completed successfully in 23s ===</f>
        <v>#ERROR!</v>
      </c>
      <c r="D601" s="3" t="s">
        <v>115</v>
      </c>
      <c r="E601" s="3" t="s">
        <v>328</v>
      </c>
    </row>
    <row r="602">
      <c r="A602" s="23">
        <v>45889.70175641203</v>
      </c>
      <c r="B602" s="3" t="s">
        <v>329</v>
      </c>
      <c r="C602" s="3" t="s">
        <v>453</v>
      </c>
      <c r="D602" s="3" t="s">
        <v>115</v>
      </c>
      <c r="E602" s="3" t="s">
        <v>328</v>
      </c>
    </row>
    <row r="603">
      <c r="A603" s="23">
        <v>45889.701774050925</v>
      </c>
      <c r="B603" s="3" t="s">
        <v>329</v>
      </c>
      <c r="C603" s="3" t="s">
        <v>419</v>
      </c>
      <c r="D603" s="3" t="s">
        <v>115</v>
      </c>
      <c r="E603" s="3" t="s">
        <v>328</v>
      </c>
    </row>
    <row r="604">
      <c r="A604" s="23">
        <v>45889.70178122685</v>
      </c>
      <c r="B604" s="3" t="s">
        <v>329</v>
      </c>
      <c r="C604" s="3" t="s">
        <v>450</v>
      </c>
      <c r="D604" s="3" t="s">
        <v>115</v>
      </c>
      <c r="E604" s="3" t="s">
        <v>328</v>
      </c>
    </row>
    <row r="605">
      <c r="A605" s="23">
        <v>45889.70180048612</v>
      </c>
      <c r="B605" s="3" t="s">
        <v>329</v>
      </c>
      <c r="C605" s="3" t="s">
        <v>455</v>
      </c>
      <c r="D605" s="3" t="s">
        <v>115</v>
      </c>
      <c r="E605" s="3" t="s">
        <v>328</v>
      </c>
    </row>
    <row r="606">
      <c r="A606" s="23">
        <v>45889.70180862269</v>
      </c>
      <c r="B606" s="3" t="s">
        <v>329</v>
      </c>
      <c r="C606" s="3" t="s">
        <v>451</v>
      </c>
      <c r="D606" s="3" t="s">
        <v>115</v>
      </c>
      <c r="E606" s="3" t="s">
        <v>328</v>
      </c>
    </row>
    <row r="607">
      <c r="A607" s="23">
        <v>45889.70183336806</v>
      </c>
      <c r="B607" s="3" t="s">
        <v>329</v>
      </c>
      <c r="C607" s="3" t="s">
        <v>434</v>
      </c>
      <c r="D607" s="3" t="s">
        <v>115</v>
      </c>
      <c r="E607" s="3" t="s">
        <v>328</v>
      </c>
    </row>
    <row r="608">
      <c r="A608" s="23">
        <v>45889.70185509259</v>
      </c>
      <c r="B608" s="3" t="s">
        <v>329</v>
      </c>
      <c r="C608" s="3" t="s">
        <v>435</v>
      </c>
      <c r="D608" s="3" t="s">
        <v>115</v>
      </c>
      <c r="E608" s="3" t="s">
        <v>328</v>
      </c>
    </row>
    <row r="609">
      <c r="A609" s="23">
        <v>45889.702350266205</v>
      </c>
      <c r="B609" s="3" t="s">
        <v>329</v>
      </c>
      <c r="C609" s="3" t="s">
        <v>453</v>
      </c>
      <c r="D609" s="3" t="s">
        <v>115</v>
      </c>
      <c r="E609" s="3" t="s">
        <v>328</v>
      </c>
    </row>
    <row r="610">
      <c r="A610" s="23">
        <v>45889.702358553244</v>
      </c>
      <c r="B610" s="3" t="s">
        <v>329</v>
      </c>
      <c r="C610" s="3" t="s">
        <v>419</v>
      </c>
      <c r="D610" s="3" t="s">
        <v>115</v>
      </c>
      <c r="E610" s="3" t="s">
        <v>328</v>
      </c>
    </row>
    <row r="611">
      <c r="A611" s="23">
        <v>45889.70236648148</v>
      </c>
      <c r="B611" s="3" t="s">
        <v>329</v>
      </c>
      <c r="C611" s="3" t="s">
        <v>450</v>
      </c>
      <c r="D611" s="3" t="s">
        <v>115</v>
      </c>
      <c r="E611" s="3" t="s">
        <v>328</v>
      </c>
    </row>
    <row r="612">
      <c r="A612" s="23">
        <v>45889.70238377315</v>
      </c>
      <c r="B612" s="3" t="s">
        <v>329</v>
      </c>
      <c r="C612" s="3" t="s">
        <v>456</v>
      </c>
      <c r="D612" s="3" t="s">
        <v>115</v>
      </c>
      <c r="E612" s="3" t="s">
        <v>328</v>
      </c>
    </row>
    <row r="613">
      <c r="A613" s="23">
        <v>45889.702391307874</v>
      </c>
      <c r="B613" s="3" t="s">
        <v>329</v>
      </c>
      <c r="C613" s="3" t="s">
        <v>451</v>
      </c>
      <c r="D613" s="3" t="s">
        <v>115</v>
      </c>
      <c r="E613" s="3" t="s">
        <v>328</v>
      </c>
    </row>
    <row r="614">
      <c r="A614" s="23">
        <v>45889.70241791666</v>
      </c>
      <c r="B614" s="3" t="s">
        <v>329</v>
      </c>
      <c r="C614" s="3" t="s">
        <v>434</v>
      </c>
      <c r="D614" s="3" t="s">
        <v>115</v>
      </c>
      <c r="E614" s="3" t="s">
        <v>328</v>
      </c>
    </row>
    <row r="615">
      <c r="A615" s="23">
        <v>45889.702442118054</v>
      </c>
      <c r="B615" s="3" t="s">
        <v>329</v>
      </c>
      <c r="C615" s="3" t="s">
        <v>435</v>
      </c>
      <c r="D615" s="3" t="s">
        <v>115</v>
      </c>
      <c r="E615" s="3" t="s">
        <v>328</v>
      </c>
    </row>
    <row r="616">
      <c r="A616" s="23">
        <v>45889.70273533565</v>
      </c>
      <c r="B616" s="3" t="s">
        <v>329</v>
      </c>
      <c r="C616" s="3" t="s">
        <v>453</v>
      </c>
      <c r="D616" s="3" t="s">
        <v>115</v>
      </c>
      <c r="E616" s="3" t="s">
        <v>328</v>
      </c>
    </row>
    <row r="617">
      <c r="A617" s="23">
        <v>45889.70274163195</v>
      </c>
      <c r="B617" s="3" t="s">
        <v>329</v>
      </c>
      <c r="C617" s="3" t="s">
        <v>419</v>
      </c>
      <c r="D617" s="3" t="s">
        <v>115</v>
      </c>
      <c r="E617" s="3" t="s">
        <v>328</v>
      </c>
    </row>
    <row r="618">
      <c r="A618" s="23">
        <v>45889.70275462963</v>
      </c>
      <c r="B618" s="3" t="s">
        <v>329</v>
      </c>
      <c r="C618" s="3" t="s">
        <v>450</v>
      </c>
      <c r="D618" s="3" t="s">
        <v>115</v>
      </c>
      <c r="E618" s="3" t="s">
        <v>328</v>
      </c>
    </row>
    <row r="619">
      <c r="A619" s="23">
        <v>45889.70277097222</v>
      </c>
      <c r="B619" s="3" t="s">
        <v>329</v>
      </c>
      <c r="C619" s="3" t="s">
        <v>456</v>
      </c>
      <c r="D619" s="3" t="s">
        <v>115</v>
      </c>
      <c r="E619" s="3" t="s">
        <v>328</v>
      </c>
    </row>
    <row r="620">
      <c r="A620" s="23">
        <v>45889.70278885416</v>
      </c>
      <c r="B620" s="3" t="s">
        <v>329</v>
      </c>
      <c r="C620" s="3" t="s">
        <v>457</v>
      </c>
      <c r="D620" s="3" t="s">
        <v>115</v>
      </c>
      <c r="E620" s="3" t="s">
        <v>328</v>
      </c>
    </row>
    <row r="621">
      <c r="A621" s="23">
        <v>45889.70281346065</v>
      </c>
      <c r="B621" s="3" t="s">
        <v>329</v>
      </c>
      <c r="C621" s="3" t="s">
        <v>434</v>
      </c>
      <c r="D621" s="3" t="s">
        <v>115</v>
      </c>
      <c r="E621" s="3" t="s">
        <v>328</v>
      </c>
    </row>
    <row r="622">
      <c r="A622" s="23">
        <v>45889.70283547454</v>
      </c>
      <c r="B622" s="3" t="s">
        <v>329</v>
      </c>
      <c r="C622" s="3" t="s">
        <v>435</v>
      </c>
      <c r="D622" s="3" t="s">
        <v>115</v>
      </c>
      <c r="E622" s="3" t="s">
        <v>328</v>
      </c>
    </row>
    <row r="623">
      <c r="A623" s="23">
        <v>45889.709614074076</v>
      </c>
      <c r="B623" s="3" t="s">
        <v>329</v>
      </c>
      <c r="C623" s="3" t="s">
        <v>458</v>
      </c>
      <c r="D623" s="3" t="s">
        <v>115</v>
      </c>
      <c r="E623" s="3" t="s">
        <v>328</v>
      </c>
    </row>
    <row r="624">
      <c r="A624" s="23">
        <v>45889.709722893516</v>
      </c>
      <c r="B624" s="3" t="s">
        <v>329</v>
      </c>
      <c r="C624" s="3" t="s">
        <v>459</v>
      </c>
      <c r="D624" s="3" t="s">
        <v>115</v>
      </c>
      <c r="E624" s="3" t="s">
        <v>328</v>
      </c>
    </row>
    <row r="625">
      <c r="A625" s="23">
        <v>45889.7097283912</v>
      </c>
      <c r="B625" s="3" t="s">
        <v>329</v>
      </c>
      <c r="C625" s="3" t="s">
        <v>460</v>
      </c>
      <c r="D625" s="3" t="s">
        <v>115</v>
      </c>
      <c r="E625" s="3" t="s">
        <v>328</v>
      </c>
    </row>
    <row r="626">
      <c r="A626" s="23">
        <v>45889.709732222225</v>
      </c>
      <c r="B626" s="3" t="s">
        <v>329</v>
      </c>
      <c r="C626" s="3" t="s">
        <v>461</v>
      </c>
      <c r="D626" s="3" t="s">
        <v>115</v>
      </c>
      <c r="E626" s="3" t="s">
        <v>328</v>
      </c>
    </row>
    <row r="627">
      <c r="A627" s="23">
        <v>45889.70973824074</v>
      </c>
      <c r="B627" s="3" t="s">
        <v>329</v>
      </c>
      <c r="C627" s="3" t="s">
        <v>462</v>
      </c>
      <c r="D627" s="3" t="s">
        <v>115</v>
      </c>
      <c r="E627" s="3" t="s">
        <v>328</v>
      </c>
    </row>
    <row r="628">
      <c r="A628" s="23">
        <v>45889.709744120366</v>
      </c>
      <c r="B628" s="3" t="s">
        <v>329</v>
      </c>
      <c r="C628" s="3" t="s">
        <v>463</v>
      </c>
      <c r="D628" s="3" t="s">
        <v>115</v>
      </c>
      <c r="E628" s="3" t="s">
        <v>328</v>
      </c>
    </row>
    <row r="629">
      <c r="A629" s="23">
        <v>45889.70974993055</v>
      </c>
      <c r="B629" s="3" t="s">
        <v>329</v>
      </c>
      <c r="C629" s="3" t="s">
        <v>464</v>
      </c>
      <c r="D629" s="3" t="s">
        <v>115</v>
      </c>
      <c r="E629" s="3" t="s">
        <v>328</v>
      </c>
    </row>
    <row r="630">
      <c r="A630" s="23">
        <v>45889.70975579861</v>
      </c>
      <c r="B630" s="3" t="s">
        <v>465</v>
      </c>
      <c r="C630" s="3" t="s">
        <v>466</v>
      </c>
      <c r="D630" s="3" t="s">
        <v>115</v>
      </c>
      <c r="E630" s="3" t="s">
        <v>328</v>
      </c>
    </row>
    <row r="631">
      <c r="A631" s="23">
        <v>45889.70976359954</v>
      </c>
      <c r="B631" s="3" t="s">
        <v>329</v>
      </c>
      <c r="C631" s="3" t="s">
        <v>467</v>
      </c>
      <c r="D631" s="3" t="s">
        <v>115</v>
      </c>
      <c r="E631" s="3" t="s">
        <v>328</v>
      </c>
    </row>
    <row r="632">
      <c r="A632" s="23">
        <v>45889.70977103009</v>
      </c>
      <c r="B632" s="3" t="s">
        <v>329</v>
      </c>
      <c r="C632" s="3" t="s">
        <v>468</v>
      </c>
      <c r="D632" s="3" t="s">
        <v>115</v>
      </c>
      <c r="E632" s="3" t="s">
        <v>328</v>
      </c>
    </row>
    <row r="633">
      <c r="A633" s="23">
        <v>45889.709779004625</v>
      </c>
      <c r="B633" s="3" t="s">
        <v>329</v>
      </c>
      <c r="C633" s="3" t="s">
        <v>469</v>
      </c>
      <c r="D633" s="3" t="s">
        <v>115</v>
      </c>
      <c r="E633" s="3" t="s">
        <v>328</v>
      </c>
    </row>
    <row r="634">
      <c r="A634" s="23">
        <v>45889.70980361111</v>
      </c>
      <c r="B634" s="3" t="s">
        <v>329</v>
      </c>
      <c r="C634" s="3" t="s">
        <v>470</v>
      </c>
      <c r="D634" s="3" t="s">
        <v>115</v>
      </c>
      <c r="E634" s="3" t="s">
        <v>328</v>
      </c>
    </row>
    <row r="635">
      <c r="A635" s="23">
        <v>45889.70980606481</v>
      </c>
      <c r="B635" s="3" t="s">
        <v>329</v>
      </c>
      <c r="C635" s="3" t="s">
        <v>471</v>
      </c>
      <c r="D635" s="3" t="s">
        <v>115</v>
      </c>
      <c r="E635" s="3" t="s">
        <v>328</v>
      </c>
    </row>
    <row r="636">
      <c r="A636" s="23">
        <v>45889.70995189815</v>
      </c>
      <c r="B636" s="3" t="s">
        <v>329</v>
      </c>
      <c r="C636" s="66" t="str">
        <f>== Starting Finance Automation V9 process ===</f>
        <v>#ERROR!</v>
      </c>
      <c r="D636" s="3" t="s">
        <v>115</v>
      </c>
      <c r="E636" s="3" t="s">
        <v>328</v>
      </c>
    </row>
    <row r="637">
      <c r="A637" s="23">
        <v>45889.709975983795</v>
      </c>
      <c r="B637" s="3" t="s">
        <v>329</v>
      </c>
      <c r="C637" s="3" t="s">
        <v>459</v>
      </c>
      <c r="D637" s="3" t="s">
        <v>115</v>
      </c>
      <c r="E637" s="3" t="s">
        <v>328</v>
      </c>
    </row>
    <row r="638">
      <c r="A638" s="23">
        <v>45889.709978680556</v>
      </c>
      <c r="B638" s="3" t="s">
        <v>329</v>
      </c>
      <c r="C638" s="3" t="s">
        <v>472</v>
      </c>
      <c r="D638" s="3" t="s">
        <v>115</v>
      </c>
      <c r="E638" s="3" t="s">
        <v>328</v>
      </c>
    </row>
    <row r="639">
      <c r="A639" s="23">
        <v>45889.709987511575</v>
      </c>
      <c r="B639" s="3" t="s">
        <v>329</v>
      </c>
      <c r="C639" s="3" t="s">
        <v>473</v>
      </c>
      <c r="D639" s="3" t="s">
        <v>115</v>
      </c>
      <c r="E639" s="3" t="s">
        <v>328</v>
      </c>
    </row>
    <row r="640">
      <c r="A640" s="23">
        <v>45889.70999131944</v>
      </c>
      <c r="B640" s="3" t="s">
        <v>329</v>
      </c>
      <c r="C640" s="3" t="s">
        <v>474</v>
      </c>
      <c r="D640" s="3" t="s">
        <v>115</v>
      </c>
      <c r="E640" s="3" t="s">
        <v>328</v>
      </c>
    </row>
    <row r="641">
      <c r="A641" s="23">
        <v>45889.70999371528</v>
      </c>
      <c r="B641" s="3" t="s">
        <v>329</v>
      </c>
      <c r="C641" s="3" t="s">
        <v>475</v>
      </c>
      <c r="D641" s="3" t="s">
        <v>115</v>
      </c>
      <c r="E641" s="3" t="s">
        <v>328</v>
      </c>
    </row>
    <row r="642">
      <c r="A642" s="23">
        <v>45889.7099967824</v>
      </c>
      <c r="B642" s="3" t="s">
        <v>329</v>
      </c>
      <c r="C642" s="3" t="s">
        <v>476</v>
      </c>
      <c r="D642" s="3" t="s">
        <v>115</v>
      </c>
      <c r="E642" s="3" t="s">
        <v>328</v>
      </c>
    </row>
    <row r="643">
      <c r="A643" s="23">
        <v>45889.71008908565</v>
      </c>
      <c r="B643" s="3" t="s">
        <v>329</v>
      </c>
      <c r="C643" s="3" t="s">
        <v>477</v>
      </c>
      <c r="D643" s="3" t="s">
        <v>115</v>
      </c>
      <c r="E643" s="3" t="s">
        <v>328</v>
      </c>
    </row>
    <row r="644">
      <c r="A644" s="23">
        <v>45889.710091574074</v>
      </c>
      <c r="B644" s="3" t="s">
        <v>329</v>
      </c>
      <c r="C644" s="3" t="s">
        <v>478</v>
      </c>
      <c r="D644" s="3" t="s">
        <v>115</v>
      </c>
      <c r="E644" s="3" t="s">
        <v>328</v>
      </c>
    </row>
    <row r="645">
      <c r="A645" s="23">
        <v>45889.710100717595</v>
      </c>
      <c r="B645" s="3" t="s">
        <v>329</v>
      </c>
      <c r="C645" s="3" t="s">
        <v>459</v>
      </c>
      <c r="D645" s="3" t="s">
        <v>115</v>
      </c>
      <c r="E645" s="3" t="s">
        <v>328</v>
      </c>
    </row>
    <row r="646">
      <c r="A646" s="23">
        <v>45889.71010851851</v>
      </c>
      <c r="B646" s="3" t="s">
        <v>329</v>
      </c>
      <c r="C646" s="3" t="s">
        <v>460</v>
      </c>
      <c r="D646" s="3" t="s">
        <v>115</v>
      </c>
      <c r="E646" s="3" t="s">
        <v>328</v>
      </c>
    </row>
    <row r="647">
      <c r="A647" s="23">
        <v>45889.71011186343</v>
      </c>
      <c r="B647" s="3" t="s">
        <v>329</v>
      </c>
      <c r="C647" s="3" t="s">
        <v>461</v>
      </c>
      <c r="D647" s="3" t="s">
        <v>115</v>
      </c>
      <c r="E647" s="3" t="s">
        <v>328</v>
      </c>
    </row>
    <row r="648">
      <c r="A648" s="23">
        <v>45889.710117905095</v>
      </c>
      <c r="B648" s="3" t="s">
        <v>329</v>
      </c>
      <c r="C648" s="3" t="s">
        <v>462</v>
      </c>
      <c r="D648" s="3" t="s">
        <v>115</v>
      </c>
      <c r="E648" s="3" t="s">
        <v>328</v>
      </c>
    </row>
    <row r="649">
      <c r="A649" s="23">
        <v>45889.710123530094</v>
      </c>
      <c r="B649" s="3" t="s">
        <v>329</v>
      </c>
      <c r="C649" s="3" t="s">
        <v>463</v>
      </c>
      <c r="D649" s="3" t="s">
        <v>115</v>
      </c>
      <c r="E649" s="3" t="s">
        <v>328</v>
      </c>
    </row>
    <row r="650">
      <c r="A650" s="23">
        <v>45889.71012920139</v>
      </c>
      <c r="B650" s="3" t="s">
        <v>329</v>
      </c>
      <c r="C650" s="3" t="s">
        <v>464</v>
      </c>
      <c r="D650" s="3" t="s">
        <v>115</v>
      </c>
      <c r="E650" s="3" t="s">
        <v>328</v>
      </c>
    </row>
    <row r="651">
      <c r="A651" s="23">
        <v>45889.7101350463</v>
      </c>
      <c r="B651" s="3" t="s">
        <v>465</v>
      </c>
      <c r="C651" s="3" t="s">
        <v>466</v>
      </c>
      <c r="D651" s="3" t="s">
        <v>115</v>
      </c>
      <c r="E651" s="3" t="s">
        <v>328</v>
      </c>
    </row>
    <row r="652">
      <c r="A652" s="23">
        <v>45889.71014094907</v>
      </c>
      <c r="B652" s="3" t="s">
        <v>329</v>
      </c>
      <c r="C652" s="3" t="s">
        <v>479</v>
      </c>
      <c r="D652" s="3" t="s">
        <v>115</v>
      </c>
      <c r="E652" s="3" t="s">
        <v>328</v>
      </c>
    </row>
    <row r="653">
      <c r="A653" s="23">
        <v>45889.71014693287</v>
      </c>
      <c r="B653" s="3" t="s">
        <v>329</v>
      </c>
      <c r="C653" s="3" t="s">
        <v>480</v>
      </c>
      <c r="D653" s="3" t="s">
        <v>115</v>
      </c>
      <c r="E653" s="3" t="s">
        <v>328</v>
      </c>
    </row>
    <row r="654">
      <c r="A654" s="23">
        <v>45889.71015488426</v>
      </c>
      <c r="B654" s="3" t="s">
        <v>329</v>
      </c>
      <c r="C654" s="3" t="s">
        <v>469</v>
      </c>
      <c r="D654" s="3" t="s">
        <v>115</v>
      </c>
      <c r="E654" s="3" t="s">
        <v>328</v>
      </c>
    </row>
    <row r="655">
      <c r="A655" s="23">
        <v>45889.71016516203</v>
      </c>
      <c r="B655" s="3" t="s">
        <v>329</v>
      </c>
      <c r="C655" s="3" t="s">
        <v>470</v>
      </c>
      <c r="D655" s="3" t="s">
        <v>115</v>
      </c>
      <c r="E655" s="3" t="s">
        <v>328</v>
      </c>
    </row>
    <row r="656">
      <c r="A656" s="23">
        <v>45889.71016771991</v>
      </c>
      <c r="B656" s="3" t="s">
        <v>329</v>
      </c>
      <c r="C656" s="3" t="s">
        <v>471</v>
      </c>
      <c r="D656" s="3" t="s">
        <v>115</v>
      </c>
      <c r="E656" s="3" t="s">
        <v>328</v>
      </c>
    </row>
    <row r="657">
      <c r="A657" s="23">
        <v>45889.71019575231</v>
      </c>
      <c r="B657" s="3" t="s">
        <v>329</v>
      </c>
      <c r="C657" s="3" t="s">
        <v>481</v>
      </c>
      <c r="D657" s="3" t="s">
        <v>115</v>
      </c>
      <c r="E657" s="3" t="s">
        <v>328</v>
      </c>
    </row>
    <row r="658">
      <c r="A658" s="23">
        <v>45889.710223263886</v>
      </c>
      <c r="B658" s="3" t="s">
        <v>329</v>
      </c>
      <c r="C658" s="3" t="s">
        <v>431</v>
      </c>
      <c r="D658" s="3" t="s">
        <v>115</v>
      </c>
      <c r="E658" s="3" t="s">
        <v>328</v>
      </c>
    </row>
    <row r="659">
      <c r="A659" s="23">
        <v>45889.71022574074</v>
      </c>
      <c r="B659" s="3" t="s">
        <v>329</v>
      </c>
      <c r="C659" s="66" t="str">
        <f>== Finance Automation V9 process completed in 23s ===</f>
        <v>#ERROR!</v>
      </c>
      <c r="D659" s="3" t="s">
        <v>115</v>
      </c>
      <c r="E659" s="3" t="s">
        <v>328</v>
      </c>
    </row>
    <row r="660">
      <c r="A660" s="23">
        <v>45889.74001563658</v>
      </c>
      <c r="B660" s="3" t="s">
        <v>329</v>
      </c>
      <c r="C660" s="66" t="str">
        <f>== Starting Finance Automation V9 process ===</f>
        <v>#ERROR!</v>
      </c>
      <c r="D660" s="3" t="s">
        <v>115</v>
      </c>
      <c r="E660" s="3" t="s">
        <v>328</v>
      </c>
    </row>
    <row r="661">
      <c r="A661" s="23">
        <v>45889.74002880787</v>
      </c>
      <c r="B661" s="3" t="s">
        <v>329</v>
      </c>
      <c r="C661" s="3" t="s">
        <v>459</v>
      </c>
      <c r="D661" s="3" t="s">
        <v>115</v>
      </c>
      <c r="E661" s="3" t="s">
        <v>328</v>
      </c>
    </row>
    <row r="662">
      <c r="A662" s="23">
        <v>45889.74003136574</v>
      </c>
      <c r="B662" s="3" t="s">
        <v>329</v>
      </c>
      <c r="C662" s="3" t="s">
        <v>472</v>
      </c>
      <c r="D662" s="3" t="s">
        <v>115</v>
      </c>
      <c r="E662" s="3" t="s">
        <v>328</v>
      </c>
    </row>
    <row r="663">
      <c r="A663" s="23">
        <v>45889.74003591435</v>
      </c>
      <c r="B663" s="3" t="s">
        <v>329</v>
      </c>
      <c r="C663" s="3" t="s">
        <v>482</v>
      </c>
      <c r="D663" s="3" t="s">
        <v>115</v>
      </c>
      <c r="E663" s="3" t="s">
        <v>328</v>
      </c>
    </row>
    <row r="664">
      <c r="A664" s="23">
        <v>45889.7400383912</v>
      </c>
      <c r="B664" s="3" t="s">
        <v>329</v>
      </c>
      <c r="C664" s="3" t="s">
        <v>476</v>
      </c>
      <c r="D664" s="3" t="s">
        <v>115</v>
      </c>
      <c r="E664" s="3" t="s">
        <v>328</v>
      </c>
    </row>
    <row r="665">
      <c r="A665" s="23">
        <v>45889.74004484953</v>
      </c>
      <c r="B665" s="3" t="s">
        <v>329</v>
      </c>
      <c r="C665" s="3" t="s">
        <v>483</v>
      </c>
      <c r="D665" s="3" t="s">
        <v>115</v>
      </c>
      <c r="E665" s="3" t="s">
        <v>328</v>
      </c>
    </row>
    <row r="666">
      <c r="A666" s="23">
        <v>45889.74004715278</v>
      </c>
      <c r="B666" s="3" t="s">
        <v>329</v>
      </c>
      <c r="C666" s="3" t="s">
        <v>478</v>
      </c>
      <c r="D666" s="3" t="s">
        <v>115</v>
      </c>
      <c r="E666" s="3" t="s">
        <v>328</v>
      </c>
    </row>
    <row r="667">
      <c r="A667" s="23">
        <v>45889.740070671294</v>
      </c>
      <c r="B667" s="3" t="s">
        <v>329</v>
      </c>
      <c r="C667" s="3" t="s">
        <v>459</v>
      </c>
      <c r="D667" s="3" t="s">
        <v>115</v>
      </c>
      <c r="E667" s="3" t="s">
        <v>328</v>
      </c>
    </row>
    <row r="668">
      <c r="A668" s="23">
        <v>45889.740076250004</v>
      </c>
      <c r="B668" s="3" t="s">
        <v>329</v>
      </c>
      <c r="C668" s="3" t="s">
        <v>460</v>
      </c>
      <c r="D668" s="3" t="s">
        <v>115</v>
      </c>
      <c r="E668" s="3" t="s">
        <v>328</v>
      </c>
    </row>
    <row r="669">
      <c r="A669" s="23">
        <v>45889.740088148144</v>
      </c>
      <c r="B669" s="3" t="s">
        <v>329</v>
      </c>
      <c r="C669" s="3" t="s">
        <v>461</v>
      </c>
      <c r="D669" s="3" t="s">
        <v>115</v>
      </c>
      <c r="E669" s="3" t="s">
        <v>328</v>
      </c>
    </row>
    <row r="670">
      <c r="A670" s="23">
        <v>45889.740098483795</v>
      </c>
      <c r="B670" s="3" t="s">
        <v>329</v>
      </c>
      <c r="C670" s="3" t="s">
        <v>462</v>
      </c>
      <c r="D670" s="3" t="s">
        <v>115</v>
      </c>
      <c r="E670" s="3" t="s">
        <v>328</v>
      </c>
    </row>
    <row r="671">
      <c r="A671" s="23">
        <v>45889.74010425926</v>
      </c>
      <c r="B671" s="3" t="s">
        <v>329</v>
      </c>
      <c r="C671" s="3" t="s">
        <v>463</v>
      </c>
      <c r="D671" s="3" t="s">
        <v>115</v>
      </c>
      <c r="E671" s="3" t="s">
        <v>328</v>
      </c>
    </row>
    <row r="672">
      <c r="A672" s="23">
        <v>45889.74010988426</v>
      </c>
      <c r="B672" s="3" t="s">
        <v>329</v>
      </c>
      <c r="C672" s="3" t="s">
        <v>464</v>
      </c>
      <c r="D672" s="3" t="s">
        <v>115</v>
      </c>
      <c r="E672" s="3" t="s">
        <v>328</v>
      </c>
    </row>
    <row r="673">
      <c r="A673" s="23">
        <v>45889.74011560185</v>
      </c>
      <c r="B673" s="3" t="s">
        <v>465</v>
      </c>
      <c r="C673" s="3" t="s">
        <v>466</v>
      </c>
      <c r="D673" s="3" t="s">
        <v>115</v>
      </c>
      <c r="E673" s="3" t="s">
        <v>328</v>
      </c>
    </row>
    <row r="674">
      <c r="A674" s="23">
        <v>45889.74012297454</v>
      </c>
      <c r="B674" s="3" t="s">
        <v>329</v>
      </c>
      <c r="C674" s="3" t="s">
        <v>479</v>
      </c>
      <c r="D674" s="3" t="s">
        <v>115</v>
      </c>
      <c r="E674" s="3" t="s">
        <v>328</v>
      </c>
    </row>
    <row r="675">
      <c r="A675" s="23">
        <v>45889.74012901621</v>
      </c>
      <c r="B675" s="3" t="s">
        <v>329</v>
      </c>
      <c r="C675" s="3" t="s">
        <v>480</v>
      </c>
      <c r="D675" s="3" t="s">
        <v>115</v>
      </c>
      <c r="E675" s="3" t="s">
        <v>328</v>
      </c>
    </row>
    <row r="676">
      <c r="A676" s="23">
        <v>45889.74013696759</v>
      </c>
      <c r="B676" s="3" t="s">
        <v>329</v>
      </c>
      <c r="C676" s="3" t="s">
        <v>469</v>
      </c>
      <c r="D676" s="3" t="s">
        <v>115</v>
      </c>
      <c r="E676" s="3" t="s">
        <v>328</v>
      </c>
    </row>
    <row r="677">
      <c r="A677" s="23">
        <v>45889.74014311343</v>
      </c>
      <c r="B677" s="3" t="s">
        <v>329</v>
      </c>
      <c r="C677" s="3" t="s">
        <v>470</v>
      </c>
      <c r="D677" s="3" t="s">
        <v>115</v>
      </c>
      <c r="E677" s="3" t="s">
        <v>328</v>
      </c>
    </row>
    <row r="678">
      <c r="A678" s="23">
        <v>45889.740146192125</v>
      </c>
      <c r="B678" s="3" t="s">
        <v>329</v>
      </c>
      <c r="C678" s="3" t="s">
        <v>471</v>
      </c>
      <c r="D678" s="3" t="s">
        <v>115</v>
      </c>
      <c r="E678" s="3" t="s">
        <v>328</v>
      </c>
    </row>
    <row r="679">
      <c r="A679" s="23">
        <v>45889.74021208333</v>
      </c>
      <c r="B679" s="3" t="s">
        <v>329</v>
      </c>
      <c r="C679" s="3" t="s">
        <v>481</v>
      </c>
      <c r="D679" s="3" t="s">
        <v>115</v>
      </c>
      <c r="E679" s="3" t="s">
        <v>328</v>
      </c>
    </row>
    <row r="680">
      <c r="A680" s="23">
        <v>45889.740234791665</v>
      </c>
      <c r="B680" s="3" t="s">
        <v>329</v>
      </c>
      <c r="C680" s="3" t="s">
        <v>431</v>
      </c>
      <c r="D680" s="3" t="s">
        <v>115</v>
      </c>
      <c r="E680" s="3" t="s">
        <v>328</v>
      </c>
    </row>
    <row r="681">
      <c r="A681" s="23">
        <v>45889.740237094906</v>
      </c>
      <c r="B681" s="3" t="s">
        <v>329</v>
      </c>
      <c r="C681" s="66" t="str">
        <f>== Finance Automation V9 process completed in 19s ===</f>
        <v>#ERROR!</v>
      </c>
      <c r="D681" s="3" t="s">
        <v>115</v>
      </c>
      <c r="E681" s="3" t="s">
        <v>328</v>
      </c>
    </row>
    <row r="682">
      <c r="A682" s="23">
        <v>45889.74567149306</v>
      </c>
      <c r="B682" s="3" t="s">
        <v>329</v>
      </c>
      <c r="C682" s="3" t="s">
        <v>484</v>
      </c>
      <c r="D682" s="3" t="s">
        <v>115</v>
      </c>
      <c r="E682" s="3" t="s">
        <v>328</v>
      </c>
    </row>
    <row r="683">
      <c r="A683" s="23">
        <v>45889.745675405095</v>
      </c>
      <c r="B683" s="3" t="s">
        <v>325</v>
      </c>
      <c r="C683" s="3" t="s">
        <v>485</v>
      </c>
      <c r="D683" s="3" t="s">
        <v>486</v>
      </c>
      <c r="E683" s="3" t="s">
        <v>328</v>
      </c>
    </row>
    <row r="684">
      <c r="A684" s="23">
        <v>45889.74584967592</v>
      </c>
      <c r="B684" s="3" t="s">
        <v>329</v>
      </c>
      <c r="C684" s="66" t="str">
        <f>== Starting Full Finance Automation V10 ===</f>
        <v>#ERROR!</v>
      </c>
      <c r="D684" s="3" t="s">
        <v>115</v>
      </c>
      <c r="E684" s="3" t="s">
        <v>328</v>
      </c>
    </row>
    <row r="685">
      <c r="A685" s="23">
        <v>45889.74585335648</v>
      </c>
      <c r="B685" s="3" t="s">
        <v>329</v>
      </c>
      <c r="C685" s="3" t="s">
        <v>336</v>
      </c>
      <c r="D685" s="3" t="s">
        <v>115</v>
      </c>
      <c r="E685" s="3" t="s">
        <v>328</v>
      </c>
    </row>
    <row r="686">
      <c r="A686" s="23">
        <v>45889.745881400464</v>
      </c>
      <c r="B686" s="3" t="s">
        <v>329</v>
      </c>
      <c r="C686" s="3" t="s">
        <v>459</v>
      </c>
      <c r="D686" s="3" t="s">
        <v>115</v>
      </c>
      <c r="E686" s="3" t="s">
        <v>328</v>
      </c>
    </row>
    <row r="687">
      <c r="A687" s="23">
        <v>45889.74589310185</v>
      </c>
      <c r="B687" s="3" t="s">
        <v>329</v>
      </c>
      <c r="C687" s="3" t="s">
        <v>337</v>
      </c>
      <c r="D687" s="3" t="s">
        <v>115</v>
      </c>
      <c r="E687" s="3" t="s">
        <v>328</v>
      </c>
    </row>
    <row r="688">
      <c r="A688" s="23">
        <v>45889.74591560185</v>
      </c>
      <c r="B688" s="3" t="s">
        <v>329</v>
      </c>
      <c r="C688" s="3" t="s">
        <v>487</v>
      </c>
      <c r="D688" s="3" t="s">
        <v>115</v>
      </c>
      <c r="E688" s="3" t="s">
        <v>328</v>
      </c>
    </row>
    <row r="689">
      <c r="A689" s="23">
        <v>45889.74591898148</v>
      </c>
      <c r="B689" s="3" t="s">
        <v>329</v>
      </c>
      <c r="C689" s="3" t="s">
        <v>488</v>
      </c>
      <c r="D689" s="3" t="s">
        <v>489</v>
      </c>
      <c r="E689" s="3" t="s">
        <v>328</v>
      </c>
    </row>
    <row r="690">
      <c r="A690" s="23">
        <v>45889.74592287037</v>
      </c>
      <c r="B690" s="3" t="s">
        <v>329</v>
      </c>
      <c r="C690" s="3" t="s">
        <v>490</v>
      </c>
      <c r="D690" s="3" t="s">
        <v>491</v>
      </c>
      <c r="E690" s="3" t="s">
        <v>328</v>
      </c>
    </row>
    <row r="691">
      <c r="A691" s="23">
        <v>45889.74595662037</v>
      </c>
      <c r="B691" s="3" t="s">
        <v>329</v>
      </c>
      <c r="C691" s="3" t="s">
        <v>492</v>
      </c>
      <c r="D691" s="3" t="s">
        <v>115</v>
      </c>
      <c r="E691" s="3" t="s">
        <v>328</v>
      </c>
    </row>
    <row r="692">
      <c r="A692" s="23">
        <v>45889.74596025463</v>
      </c>
      <c r="B692" s="3" t="s">
        <v>329</v>
      </c>
      <c r="C692" s="3" t="s">
        <v>493</v>
      </c>
      <c r="D692" s="3" t="s">
        <v>494</v>
      </c>
      <c r="E692" s="3" t="s">
        <v>328</v>
      </c>
    </row>
    <row r="693">
      <c r="A693" s="23">
        <v>45889.74596350694</v>
      </c>
      <c r="B693" s="3" t="s">
        <v>329</v>
      </c>
      <c r="C693" s="3" t="s">
        <v>490</v>
      </c>
      <c r="D693" s="3" t="s">
        <v>495</v>
      </c>
      <c r="E693" s="3" t="s">
        <v>328</v>
      </c>
    </row>
    <row r="694">
      <c r="A694" s="23">
        <v>45889.74597600695</v>
      </c>
      <c r="B694" s="3" t="s">
        <v>329</v>
      </c>
      <c r="C694" s="3" t="s">
        <v>338</v>
      </c>
      <c r="D694" s="3" t="s">
        <v>496</v>
      </c>
      <c r="E694" s="3" t="s">
        <v>328</v>
      </c>
    </row>
    <row r="695">
      <c r="A695" s="23">
        <v>45889.745979444444</v>
      </c>
      <c r="B695" s="3" t="s">
        <v>329</v>
      </c>
      <c r="C695" s="3" t="s">
        <v>497</v>
      </c>
      <c r="D695" s="3" t="s">
        <v>115</v>
      </c>
      <c r="E695" s="3" t="s">
        <v>328</v>
      </c>
    </row>
    <row r="696">
      <c r="A696" s="23">
        <v>45889.74598431713</v>
      </c>
      <c r="B696" s="3" t="s">
        <v>329</v>
      </c>
      <c r="C696" s="3" t="s">
        <v>342</v>
      </c>
      <c r="D696" s="3" t="s">
        <v>115</v>
      </c>
      <c r="E696" s="3" t="s">
        <v>328</v>
      </c>
    </row>
    <row r="697">
      <c r="A697" s="23">
        <v>45889.74598774305</v>
      </c>
      <c r="B697" s="3" t="s">
        <v>329</v>
      </c>
      <c r="C697" s="3" t="s">
        <v>498</v>
      </c>
      <c r="D697" s="3" t="s">
        <v>115</v>
      </c>
      <c r="E697" s="3" t="s">
        <v>328</v>
      </c>
    </row>
    <row r="698">
      <c r="A698" s="23">
        <v>45889.74599231481</v>
      </c>
      <c r="B698" s="3" t="s">
        <v>329</v>
      </c>
      <c r="C698" s="3" t="s">
        <v>499</v>
      </c>
      <c r="D698" s="3" t="s">
        <v>115</v>
      </c>
      <c r="E698" s="3" t="s">
        <v>328</v>
      </c>
    </row>
    <row r="699">
      <c r="A699" s="23">
        <v>45889.7460028125</v>
      </c>
      <c r="B699" s="3" t="s">
        <v>325</v>
      </c>
      <c r="C699" s="3" t="s">
        <v>500</v>
      </c>
      <c r="D699" s="3" t="s">
        <v>501</v>
      </c>
      <c r="E699" s="3" t="s">
        <v>328</v>
      </c>
    </row>
    <row r="700">
      <c r="A700" s="23">
        <v>45889.74600597222</v>
      </c>
      <c r="B700" s="3" t="s">
        <v>329</v>
      </c>
      <c r="C700" s="3" t="s">
        <v>502</v>
      </c>
      <c r="D700" s="3" t="s">
        <v>115</v>
      </c>
      <c r="E700" s="3" t="s">
        <v>328</v>
      </c>
    </row>
    <row r="701">
      <c r="A701" s="23">
        <v>45889.74601174769</v>
      </c>
      <c r="B701" s="3" t="s">
        <v>325</v>
      </c>
      <c r="C701" s="3" t="s">
        <v>503</v>
      </c>
      <c r="D701" s="3" t="s">
        <v>504</v>
      </c>
      <c r="E701" s="3" t="s">
        <v>328</v>
      </c>
    </row>
    <row r="702">
      <c r="A702" s="23">
        <v>45889.74603357639</v>
      </c>
      <c r="B702" s="3" t="s">
        <v>329</v>
      </c>
      <c r="C702" s="3" t="s">
        <v>505</v>
      </c>
      <c r="D702" s="3" t="s">
        <v>506</v>
      </c>
      <c r="E702" s="3" t="s">
        <v>328</v>
      </c>
    </row>
    <row r="703">
      <c r="A703" s="23">
        <v>45889.74603658565</v>
      </c>
      <c r="B703" s="3" t="s">
        <v>329</v>
      </c>
      <c r="C703" s="66" t="str">
        <f>== Finance Automation V10 Complete ===</f>
        <v>#ERROR!</v>
      </c>
      <c r="D703" s="3" t="s">
        <v>507</v>
      </c>
      <c r="E703" s="3" t="s">
        <v>328</v>
      </c>
    </row>
    <row r="704">
      <c r="A704" s="23">
        <v>45889.74684989583</v>
      </c>
      <c r="B704" s="3" t="s">
        <v>325</v>
      </c>
      <c r="C704" s="3" t="s">
        <v>503</v>
      </c>
      <c r="D704" s="3" t="s">
        <v>504</v>
      </c>
      <c r="E704" s="3" t="s">
        <v>328</v>
      </c>
    </row>
    <row r="705">
      <c r="A705" s="23">
        <v>45889.74686318287</v>
      </c>
      <c r="B705" s="3" t="s">
        <v>329</v>
      </c>
      <c r="C705" s="3" t="s">
        <v>505</v>
      </c>
      <c r="D705" s="3" t="s">
        <v>506</v>
      </c>
      <c r="E705" s="3" t="s">
        <v>328</v>
      </c>
    </row>
    <row r="706">
      <c r="A706" s="23">
        <v>45889.747149999996</v>
      </c>
      <c r="B706" s="3" t="s">
        <v>329</v>
      </c>
      <c r="C706" s="3" t="s">
        <v>484</v>
      </c>
      <c r="D706" s="3" t="s">
        <v>115</v>
      </c>
      <c r="E706" s="3" t="s">
        <v>328</v>
      </c>
    </row>
    <row r="707">
      <c r="A707" s="23">
        <v>45889.74715231481</v>
      </c>
      <c r="B707" s="3" t="s">
        <v>325</v>
      </c>
      <c r="C707" s="3" t="s">
        <v>485</v>
      </c>
      <c r="D707" s="3" t="s">
        <v>486</v>
      </c>
      <c r="E707" s="3" t="s">
        <v>328</v>
      </c>
    </row>
    <row r="708">
      <c r="A708" s="23">
        <v>45889.74733075232</v>
      </c>
      <c r="B708" s="3" t="s">
        <v>329</v>
      </c>
      <c r="C708" s="66" t="str">
        <f>== Starting Full Finance Automation V10 ===</f>
        <v>#ERROR!</v>
      </c>
      <c r="D708" s="3" t="s">
        <v>115</v>
      </c>
      <c r="E708" s="3" t="s">
        <v>328</v>
      </c>
    </row>
    <row r="709">
      <c r="A709" s="23">
        <v>45889.747332847226</v>
      </c>
      <c r="B709" s="3" t="s">
        <v>329</v>
      </c>
      <c r="C709" s="3" t="s">
        <v>336</v>
      </c>
      <c r="D709" s="3" t="s">
        <v>115</v>
      </c>
      <c r="E709" s="3" t="s">
        <v>328</v>
      </c>
    </row>
    <row r="710">
      <c r="A710" s="23">
        <v>45889.74734130787</v>
      </c>
      <c r="B710" s="3" t="s">
        <v>329</v>
      </c>
      <c r="C710" s="3" t="s">
        <v>459</v>
      </c>
      <c r="D710" s="3" t="s">
        <v>115</v>
      </c>
      <c r="E710" s="3" t="s">
        <v>328</v>
      </c>
    </row>
    <row r="711">
      <c r="A711" s="23">
        <v>45889.74734884259</v>
      </c>
      <c r="B711" s="3" t="s">
        <v>329</v>
      </c>
      <c r="C711" s="3" t="s">
        <v>337</v>
      </c>
      <c r="D711" s="3" t="s">
        <v>115</v>
      </c>
      <c r="E711" s="3" t="s">
        <v>328</v>
      </c>
    </row>
    <row r="712">
      <c r="A712" s="23">
        <v>45889.74737239583</v>
      </c>
      <c r="B712" s="3" t="s">
        <v>329</v>
      </c>
      <c r="C712" s="3" t="s">
        <v>338</v>
      </c>
      <c r="D712" s="3" t="s">
        <v>339</v>
      </c>
      <c r="E712" s="3" t="s">
        <v>328</v>
      </c>
    </row>
    <row r="713">
      <c r="A713" s="23">
        <v>45889.7473749537</v>
      </c>
      <c r="B713" s="3" t="s">
        <v>329</v>
      </c>
      <c r="C713" s="3" t="s">
        <v>497</v>
      </c>
      <c r="D713" s="3" t="s">
        <v>115</v>
      </c>
      <c r="E713" s="3" t="s">
        <v>328</v>
      </c>
    </row>
    <row r="714">
      <c r="A714" s="23">
        <v>45889.74738060185</v>
      </c>
      <c r="B714" s="3" t="s">
        <v>329</v>
      </c>
      <c r="C714" s="3" t="s">
        <v>342</v>
      </c>
      <c r="D714" s="3" t="s">
        <v>115</v>
      </c>
      <c r="E714" s="3" t="s">
        <v>328</v>
      </c>
    </row>
    <row r="715">
      <c r="A715" s="23">
        <v>45889.74738760416</v>
      </c>
      <c r="B715" s="3" t="s">
        <v>329</v>
      </c>
      <c r="C715" s="3" t="s">
        <v>498</v>
      </c>
      <c r="D715" s="3" t="s">
        <v>115</v>
      </c>
      <c r="E715" s="3" t="s">
        <v>328</v>
      </c>
    </row>
    <row r="716">
      <c r="A716" s="23">
        <v>45889.74739072917</v>
      </c>
      <c r="B716" s="3" t="s">
        <v>329</v>
      </c>
      <c r="C716" s="3" t="s">
        <v>499</v>
      </c>
      <c r="D716" s="3" t="s">
        <v>115</v>
      </c>
      <c r="E716" s="3" t="s">
        <v>328</v>
      </c>
    </row>
    <row r="717">
      <c r="A717" s="23">
        <v>45889.74739866898</v>
      </c>
      <c r="B717" s="3" t="s">
        <v>325</v>
      </c>
      <c r="C717" s="3" t="s">
        <v>500</v>
      </c>
      <c r="D717" s="3" t="s">
        <v>501</v>
      </c>
      <c r="E717" s="3" t="s">
        <v>328</v>
      </c>
    </row>
    <row r="718">
      <c r="A718" s="23">
        <v>45889.74740097222</v>
      </c>
      <c r="B718" s="3" t="s">
        <v>329</v>
      </c>
      <c r="C718" s="3" t="s">
        <v>502</v>
      </c>
      <c r="D718" s="3" t="s">
        <v>115</v>
      </c>
      <c r="E718" s="3" t="s">
        <v>328</v>
      </c>
    </row>
    <row r="719">
      <c r="A719" s="23">
        <v>45889.747405104164</v>
      </c>
      <c r="B719" s="3" t="s">
        <v>325</v>
      </c>
      <c r="C719" s="3" t="s">
        <v>503</v>
      </c>
      <c r="D719" s="3" t="s">
        <v>504</v>
      </c>
      <c r="E719" s="3" t="s">
        <v>328</v>
      </c>
    </row>
    <row r="720">
      <c r="A720" s="23">
        <v>45889.74741429398</v>
      </c>
      <c r="B720" s="3" t="s">
        <v>329</v>
      </c>
      <c r="C720" s="3" t="s">
        <v>505</v>
      </c>
      <c r="D720" s="3" t="s">
        <v>506</v>
      </c>
      <c r="E720" s="3" t="s">
        <v>328</v>
      </c>
    </row>
    <row r="721">
      <c r="A721" s="23">
        <v>45889.74741673611</v>
      </c>
      <c r="B721" s="3" t="s">
        <v>329</v>
      </c>
      <c r="C721" s="66" t="str">
        <f>== Finance Automation V10 Complete ===</f>
        <v>#ERROR!</v>
      </c>
      <c r="D721" s="3" t="s">
        <v>508</v>
      </c>
      <c r="E721" s="3" t="s">
        <v>328</v>
      </c>
    </row>
    <row r="722">
      <c r="A722" s="23">
        <v>45889.75160773148</v>
      </c>
      <c r="B722" s="3" t="s">
        <v>329</v>
      </c>
      <c r="C722" s="3" t="s">
        <v>484</v>
      </c>
      <c r="D722" s="3" t="s">
        <v>115</v>
      </c>
      <c r="E722" s="3" t="s">
        <v>328</v>
      </c>
    </row>
    <row r="723">
      <c r="A723" s="23">
        <v>45889.751610543986</v>
      </c>
      <c r="B723" s="3" t="s">
        <v>325</v>
      </c>
      <c r="C723" s="3" t="s">
        <v>485</v>
      </c>
      <c r="D723" s="3" t="s">
        <v>486</v>
      </c>
      <c r="E723" s="3" t="s">
        <v>328</v>
      </c>
    </row>
    <row r="724">
      <c r="A724" s="23">
        <v>45889.752065127315</v>
      </c>
      <c r="B724" s="3" t="s">
        <v>329</v>
      </c>
      <c r="C724" s="66" t="str">
        <f>== Starting Full Finance Automation V10 ===</f>
        <v>#ERROR!</v>
      </c>
      <c r="D724" s="3" t="s">
        <v>115</v>
      </c>
      <c r="E724" s="3" t="s">
        <v>328</v>
      </c>
    </row>
    <row r="725">
      <c r="A725" s="23">
        <v>45889.752068587964</v>
      </c>
      <c r="B725" s="3" t="s">
        <v>329</v>
      </c>
      <c r="C725" s="3" t="s">
        <v>336</v>
      </c>
      <c r="D725" s="3" t="s">
        <v>115</v>
      </c>
      <c r="E725" s="3" t="s">
        <v>328</v>
      </c>
    </row>
    <row r="726">
      <c r="A726" s="23">
        <v>45889.75208157407</v>
      </c>
      <c r="B726" s="3" t="s">
        <v>329</v>
      </c>
      <c r="C726" s="3" t="s">
        <v>459</v>
      </c>
      <c r="D726" s="3" t="s">
        <v>115</v>
      </c>
      <c r="E726" s="3" t="s">
        <v>328</v>
      </c>
    </row>
    <row r="727">
      <c r="A727" s="23">
        <v>45889.75209142361</v>
      </c>
      <c r="B727" s="3" t="s">
        <v>329</v>
      </c>
      <c r="C727" s="3" t="s">
        <v>337</v>
      </c>
      <c r="D727" s="3" t="s">
        <v>115</v>
      </c>
      <c r="E727" s="3" t="s">
        <v>328</v>
      </c>
    </row>
    <row r="728">
      <c r="A728" s="23">
        <v>45889.75212138889</v>
      </c>
      <c r="B728" s="3" t="s">
        <v>329</v>
      </c>
      <c r="C728" s="3" t="s">
        <v>338</v>
      </c>
      <c r="D728" s="3" t="s">
        <v>339</v>
      </c>
      <c r="E728" s="3" t="s">
        <v>328</v>
      </c>
    </row>
    <row r="729">
      <c r="A729" s="23">
        <v>45889.75212430555</v>
      </c>
      <c r="B729" s="3" t="s">
        <v>329</v>
      </c>
      <c r="C729" s="3" t="s">
        <v>497</v>
      </c>
      <c r="D729" s="3" t="s">
        <v>115</v>
      </c>
      <c r="E729" s="3" t="s">
        <v>328</v>
      </c>
    </row>
    <row r="730">
      <c r="A730" s="23">
        <v>45889.75212903935</v>
      </c>
      <c r="B730" s="3" t="s">
        <v>329</v>
      </c>
      <c r="C730" s="3" t="s">
        <v>342</v>
      </c>
      <c r="D730" s="3" t="s">
        <v>115</v>
      </c>
      <c r="E730" s="3" t="s">
        <v>328</v>
      </c>
    </row>
    <row r="731">
      <c r="A731" s="23">
        <v>45889.752132361114</v>
      </c>
      <c r="B731" s="3" t="s">
        <v>329</v>
      </c>
      <c r="C731" s="3" t="s">
        <v>498</v>
      </c>
      <c r="D731" s="3" t="s">
        <v>115</v>
      </c>
      <c r="E731" s="3" t="s">
        <v>328</v>
      </c>
    </row>
    <row r="732">
      <c r="A732" s="23">
        <v>45889.752137118056</v>
      </c>
      <c r="B732" s="3" t="s">
        <v>329</v>
      </c>
      <c r="C732" s="3" t="s">
        <v>499</v>
      </c>
      <c r="D732" s="3" t="s">
        <v>115</v>
      </c>
      <c r="E732" s="3" t="s">
        <v>328</v>
      </c>
    </row>
    <row r="733">
      <c r="A733" s="23">
        <v>45889.75214730324</v>
      </c>
      <c r="B733" s="3" t="s">
        <v>329</v>
      </c>
      <c r="C733" s="3" t="s">
        <v>509</v>
      </c>
      <c r="D733" s="3" t="s">
        <v>115</v>
      </c>
      <c r="E733" s="3" t="s">
        <v>328</v>
      </c>
    </row>
    <row r="734">
      <c r="A734" s="23">
        <v>45889.752152326386</v>
      </c>
      <c r="B734" s="3" t="s">
        <v>329</v>
      </c>
      <c r="C734" s="3" t="s">
        <v>509</v>
      </c>
      <c r="D734" s="3" t="s">
        <v>115</v>
      </c>
      <c r="E734" s="3" t="s">
        <v>328</v>
      </c>
    </row>
    <row r="735">
      <c r="A735" s="23">
        <v>45889.75215724537</v>
      </c>
      <c r="B735" s="3" t="s">
        <v>329</v>
      </c>
      <c r="C735" s="3" t="s">
        <v>509</v>
      </c>
      <c r="D735" s="3" t="s">
        <v>115</v>
      </c>
      <c r="E735" s="3" t="s">
        <v>328</v>
      </c>
    </row>
    <row r="736">
      <c r="A736" s="23">
        <v>45889.75216710648</v>
      </c>
      <c r="B736" s="3" t="s">
        <v>329</v>
      </c>
      <c r="C736" s="3" t="s">
        <v>509</v>
      </c>
      <c r="D736" s="3" t="s">
        <v>115</v>
      </c>
      <c r="E736" s="3" t="s">
        <v>328</v>
      </c>
    </row>
    <row r="737">
      <c r="A737" s="23">
        <v>45889.75217391204</v>
      </c>
      <c r="B737" s="3" t="s">
        <v>329</v>
      </c>
      <c r="C737" s="3" t="s">
        <v>509</v>
      </c>
      <c r="D737" s="3" t="s">
        <v>115</v>
      </c>
      <c r="E737" s="3" t="s">
        <v>328</v>
      </c>
    </row>
    <row r="738">
      <c r="A738" s="23">
        <v>45889.752179560186</v>
      </c>
      <c r="B738" s="3" t="s">
        <v>329</v>
      </c>
      <c r="C738" s="3" t="s">
        <v>510</v>
      </c>
      <c r="D738" s="3" t="s">
        <v>115</v>
      </c>
      <c r="E738" s="3" t="s">
        <v>328</v>
      </c>
    </row>
    <row r="739">
      <c r="A739" s="23">
        <v>45889.75218472222</v>
      </c>
      <c r="B739" s="3" t="s">
        <v>329</v>
      </c>
      <c r="C739" s="3" t="s">
        <v>510</v>
      </c>
      <c r="D739" s="3" t="s">
        <v>115</v>
      </c>
      <c r="E739" s="3" t="s">
        <v>328</v>
      </c>
    </row>
    <row r="740">
      <c r="A740" s="23">
        <v>45889.752188287035</v>
      </c>
      <c r="B740" s="3" t="s">
        <v>329</v>
      </c>
      <c r="C740" s="3" t="s">
        <v>511</v>
      </c>
      <c r="D740" s="3" t="s">
        <v>115</v>
      </c>
      <c r="E740" s="3" t="s">
        <v>328</v>
      </c>
    </row>
    <row r="741">
      <c r="A741" s="23">
        <v>45889.752191168984</v>
      </c>
      <c r="B741" s="3" t="s">
        <v>329</v>
      </c>
      <c r="C741" s="3" t="s">
        <v>502</v>
      </c>
      <c r="D741" s="3" t="s">
        <v>115</v>
      </c>
      <c r="E741" s="3" t="s">
        <v>328</v>
      </c>
    </row>
    <row r="742">
      <c r="A742" s="23">
        <v>45889.75221399305</v>
      </c>
      <c r="B742" s="3" t="s">
        <v>329</v>
      </c>
      <c r="C742" s="3" t="s">
        <v>505</v>
      </c>
      <c r="D742" s="3" t="s">
        <v>512</v>
      </c>
      <c r="E742" s="3" t="s">
        <v>328</v>
      </c>
    </row>
    <row r="743">
      <c r="A743" s="23">
        <v>45889.752217511574</v>
      </c>
      <c r="B743" s="3" t="s">
        <v>329</v>
      </c>
      <c r="C743" s="66" t="str">
        <f>== Finance Automation V10 Complete ===</f>
        <v>#ERROR!</v>
      </c>
      <c r="D743" s="3" t="s">
        <v>513</v>
      </c>
      <c r="E743" s="3" t="s">
        <v>328</v>
      </c>
    </row>
    <row r="744">
      <c r="A744" s="23">
        <v>45889.752539849535</v>
      </c>
      <c r="B744" s="3" t="s">
        <v>329</v>
      </c>
      <c r="C744" s="3" t="s">
        <v>459</v>
      </c>
      <c r="D744" s="3" t="s">
        <v>115</v>
      </c>
      <c r="E744" s="3" t="s">
        <v>328</v>
      </c>
    </row>
    <row r="745">
      <c r="A745" s="23">
        <v>45889.75255369213</v>
      </c>
      <c r="B745" s="3" t="s">
        <v>329</v>
      </c>
      <c r="C745" s="3" t="s">
        <v>514</v>
      </c>
      <c r="D745" s="3" t="s">
        <v>115</v>
      </c>
      <c r="E745" s="3" t="s">
        <v>328</v>
      </c>
    </row>
    <row r="746">
      <c r="A746" s="23">
        <v>45889.75255625</v>
      </c>
      <c r="B746" s="3" t="s">
        <v>329</v>
      </c>
      <c r="C746" s="3" t="s">
        <v>337</v>
      </c>
      <c r="D746" s="3" t="s">
        <v>115</v>
      </c>
      <c r="E746" s="3" t="s">
        <v>328</v>
      </c>
    </row>
    <row r="747">
      <c r="A747" s="23">
        <v>45889.752595625</v>
      </c>
      <c r="B747" s="3" t="s">
        <v>329</v>
      </c>
      <c r="C747" s="3" t="s">
        <v>338</v>
      </c>
      <c r="D747" s="3" t="s">
        <v>339</v>
      </c>
      <c r="E747" s="3" t="s">
        <v>328</v>
      </c>
    </row>
    <row r="748">
      <c r="A748" s="23">
        <v>45889.7527337963</v>
      </c>
      <c r="B748" s="3" t="s">
        <v>329</v>
      </c>
      <c r="C748" s="3" t="s">
        <v>514</v>
      </c>
      <c r="D748" s="3" t="s">
        <v>115</v>
      </c>
      <c r="E748" s="3" t="s">
        <v>328</v>
      </c>
    </row>
    <row r="749">
      <c r="A749" s="23">
        <v>45889.753486180554</v>
      </c>
      <c r="B749" s="3" t="s">
        <v>329</v>
      </c>
      <c r="C749" s="3" t="s">
        <v>459</v>
      </c>
      <c r="D749" s="3" t="s">
        <v>115</v>
      </c>
      <c r="E749" s="3" t="s">
        <v>328</v>
      </c>
    </row>
    <row r="750">
      <c r="A750" s="23">
        <v>45889.7534934375</v>
      </c>
      <c r="B750" s="3" t="s">
        <v>329</v>
      </c>
      <c r="C750" s="3" t="s">
        <v>337</v>
      </c>
      <c r="D750" s="3" t="s">
        <v>115</v>
      </c>
      <c r="E750" s="3" t="s">
        <v>328</v>
      </c>
    </row>
    <row r="751">
      <c r="A751" s="23">
        <v>45889.75352424769</v>
      </c>
      <c r="B751" s="3" t="s">
        <v>329</v>
      </c>
      <c r="C751" s="3" t="s">
        <v>338</v>
      </c>
      <c r="D751" s="3" t="s">
        <v>339</v>
      </c>
      <c r="E751" s="3" t="s">
        <v>328</v>
      </c>
    </row>
    <row r="752">
      <c r="A752" s="23">
        <v>45889.754325648144</v>
      </c>
      <c r="B752" s="3" t="s">
        <v>329</v>
      </c>
      <c r="C752" s="3" t="s">
        <v>484</v>
      </c>
      <c r="D752" s="3" t="s">
        <v>115</v>
      </c>
      <c r="E752" s="3" t="s">
        <v>328</v>
      </c>
    </row>
    <row r="753">
      <c r="A753" s="23">
        <v>45889.754328877316</v>
      </c>
      <c r="B753" s="3" t="s">
        <v>325</v>
      </c>
      <c r="C753" s="3" t="s">
        <v>485</v>
      </c>
      <c r="D753" s="3" t="s">
        <v>486</v>
      </c>
      <c r="E753" s="3" t="s">
        <v>328</v>
      </c>
    </row>
    <row r="754">
      <c r="A754" s="23">
        <v>45889.75448325231</v>
      </c>
      <c r="B754" s="3" t="s">
        <v>329</v>
      </c>
      <c r="C754" s="3" t="s">
        <v>484</v>
      </c>
      <c r="D754" s="3" t="s">
        <v>115</v>
      </c>
      <c r="E754" s="3" t="s">
        <v>328</v>
      </c>
    </row>
    <row r="755">
      <c r="A755" s="23">
        <v>45889.754485682875</v>
      </c>
      <c r="B755" s="3" t="s">
        <v>325</v>
      </c>
      <c r="C755" s="3" t="s">
        <v>485</v>
      </c>
      <c r="D755" s="3" t="s">
        <v>486</v>
      </c>
      <c r="E755" s="3" t="s">
        <v>328</v>
      </c>
    </row>
    <row r="756">
      <c r="A756" s="23">
        <v>45889.75513385417</v>
      </c>
      <c r="B756" s="3" t="s">
        <v>329</v>
      </c>
      <c r="C756" s="66" t="str">
        <f>== Starting Full Finance Automation V10 ===</f>
        <v>#ERROR!</v>
      </c>
      <c r="D756" s="3" t="s">
        <v>115</v>
      </c>
      <c r="E756" s="3" t="s">
        <v>328</v>
      </c>
    </row>
    <row r="757">
      <c r="A757" s="23">
        <v>45889.75513769676</v>
      </c>
      <c r="B757" s="3" t="s">
        <v>329</v>
      </c>
      <c r="C757" s="3" t="s">
        <v>336</v>
      </c>
      <c r="D757" s="3" t="s">
        <v>115</v>
      </c>
      <c r="E757" s="3" t="s">
        <v>328</v>
      </c>
    </row>
    <row r="758">
      <c r="A758" s="23">
        <v>45889.75515596065</v>
      </c>
      <c r="B758" s="3" t="s">
        <v>329</v>
      </c>
      <c r="C758" s="3" t="s">
        <v>459</v>
      </c>
      <c r="D758" s="3" t="s">
        <v>115</v>
      </c>
      <c r="E758" s="3" t="s">
        <v>328</v>
      </c>
    </row>
    <row r="759">
      <c r="A759" s="23">
        <v>45889.75517046296</v>
      </c>
      <c r="B759" s="3" t="s">
        <v>329</v>
      </c>
      <c r="C759" s="3" t="s">
        <v>337</v>
      </c>
      <c r="D759" s="3" t="s">
        <v>115</v>
      </c>
      <c r="E759" s="3" t="s">
        <v>328</v>
      </c>
    </row>
    <row r="760">
      <c r="A760" s="23">
        <v>45889.7552046412</v>
      </c>
      <c r="B760" s="3" t="s">
        <v>329</v>
      </c>
      <c r="C760" s="3" t="s">
        <v>338</v>
      </c>
      <c r="D760" s="3" t="s">
        <v>339</v>
      </c>
      <c r="E760" s="3" t="s">
        <v>328</v>
      </c>
    </row>
    <row r="761">
      <c r="A761" s="23">
        <v>45889.755207870374</v>
      </c>
      <c r="B761" s="3" t="s">
        <v>329</v>
      </c>
      <c r="C761" s="3" t="s">
        <v>497</v>
      </c>
      <c r="D761" s="3" t="s">
        <v>115</v>
      </c>
      <c r="E761" s="3" t="s">
        <v>328</v>
      </c>
    </row>
    <row r="762">
      <c r="A762" s="23">
        <v>45889.755216550926</v>
      </c>
      <c r="B762" s="3" t="s">
        <v>329</v>
      </c>
      <c r="C762" s="3" t="s">
        <v>342</v>
      </c>
      <c r="D762" s="3" t="s">
        <v>115</v>
      </c>
      <c r="E762" s="3" t="s">
        <v>328</v>
      </c>
    </row>
    <row r="763">
      <c r="A763" s="23">
        <v>45889.755219513885</v>
      </c>
      <c r="B763" s="3" t="s">
        <v>329</v>
      </c>
      <c r="C763" s="3" t="s">
        <v>498</v>
      </c>
      <c r="D763" s="3" t="s">
        <v>115</v>
      </c>
      <c r="E763" s="3" t="s">
        <v>328</v>
      </c>
    </row>
    <row r="764">
      <c r="A764" s="23">
        <v>45889.75522435185</v>
      </c>
      <c r="B764" s="3" t="s">
        <v>329</v>
      </c>
      <c r="C764" s="3" t="s">
        <v>499</v>
      </c>
      <c r="D764" s="3" t="s">
        <v>115</v>
      </c>
      <c r="E764" s="3" t="s">
        <v>328</v>
      </c>
    </row>
    <row r="765">
      <c r="A765" s="23">
        <v>45889.75523446759</v>
      </c>
      <c r="B765" s="3" t="s">
        <v>329</v>
      </c>
      <c r="C765" s="3" t="s">
        <v>509</v>
      </c>
      <c r="D765" s="3" t="s">
        <v>115</v>
      </c>
      <c r="E765" s="3" t="s">
        <v>328</v>
      </c>
    </row>
    <row r="766">
      <c r="A766" s="23">
        <v>45889.75523880787</v>
      </c>
      <c r="B766" s="3" t="s">
        <v>329</v>
      </c>
      <c r="C766" s="3" t="s">
        <v>509</v>
      </c>
      <c r="D766" s="3" t="s">
        <v>115</v>
      </c>
      <c r="E766" s="3" t="s">
        <v>328</v>
      </c>
    </row>
    <row r="767">
      <c r="A767" s="23">
        <v>45889.75524366898</v>
      </c>
      <c r="B767" s="3" t="s">
        <v>329</v>
      </c>
      <c r="C767" s="3" t="s">
        <v>509</v>
      </c>
      <c r="D767" s="3" t="s">
        <v>115</v>
      </c>
      <c r="E767" s="3" t="s">
        <v>328</v>
      </c>
    </row>
    <row r="768">
      <c r="A768" s="23">
        <v>45889.75524788194</v>
      </c>
      <c r="B768" s="3" t="s">
        <v>329</v>
      </c>
      <c r="C768" s="3" t="s">
        <v>509</v>
      </c>
      <c r="D768" s="3" t="s">
        <v>115</v>
      </c>
      <c r="E768" s="3" t="s">
        <v>328</v>
      </c>
    </row>
    <row r="769">
      <c r="A769" s="23">
        <v>45889.755252222225</v>
      </c>
      <c r="B769" s="3" t="s">
        <v>329</v>
      </c>
      <c r="C769" s="3" t="s">
        <v>509</v>
      </c>
      <c r="D769" s="3" t="s">
        <v>115</v>
      </c>
      <c r="E769" s="3" t="s">
        <v>328</v>
      </c>
    </row>
    <row r="770">
      <c r="A770" s="23">
        <v>45889.75526020833</v>
      </c>
      <c r="B770" s="3" t="s">
        <v>329</v>
      </c>
      <c r="C770" s="3" t="s">
        <v>510</v>
      </c>
      <c r="D770" s="3" t="s">
        <v>115</v>
      </c>
      <c r="E770" s="3" t="s">
        <v>328</v>
      </c>
    </row>
    <row r="771">
      <c r="A771" s="23">
        <v>45889.75526427083</v>
      </c>
      <c r="B771" s="3" t="s">
        <v>329</v>
      </c>
      <c r="C771" s="3" t="s">
        <v>510</v>
      </c>
      <c r="D771" s="3" t="s">
        <v>115</v>
      </c>
      <c r="E771" s="3" t="s">
        <v>328</v>
      </c>
    </row>
    <row r="772">
      <c r="A772" s="23">
        <v>45889.7552671875</v>
      </c>
      <c r="B772" s="3" t="s">
        <v>329</v>
      </c>
      <c r="C772" s="3" t="s">
        <v>511</v>
      </c>
      <c r="D772" s="3" t="s">
        <v>115</v>
      </c>
      <c r="E772" s="3" t="s">
        <v>328</v>
      </c>
    </row>
    <row r="773">
      <c r="A773" s="23">
        <v>45889.75527043981</v>
      </c>
      <c r="B773" s="3" t="s">
        <v>329</v>
      </c>
      <c r="C773" s="3" t="s">
        <v>502</v>
      </c>
      <c r="D773" s="3" t="s">
        <v>115</v>
      </c>
      <c r="E773" s="3" t="s">
        <v>328</v>
      </c>
    </row>
    <row r="774">
      <c r="A774" s="23">
        <v>45889.755291504625</v>
      </c>
      <c r="B774" s="3" t="s">
        <v>329</v>
      </c>
      <c r="C774" s="3" t="s">
        <v>505</v>
      </c>
      <c r="D774" s="3" t="s">
        <v>512</v>
      </c>
      <c r="E774" s="3" t="s">
        <v>328</v>
      </c>
    </row>
    <row r="775">
      <c r="A775" s="23">
        <v>45889.75529424769</v>
      </c>
      <c r="B775" s="3" t="s">
        <v>329</v>
      </c>
      <c r="C775" s="66" t="str">
        <f>== Finance Automation V10 Complete ===</f>
        <v>#ERROR!</v>
      </c>
      <c r="D775" s="3" t="s">
        <v>515</v>
      </c>
      <c r="E775" s="3" t="s">
        <v>328</v>
      </c>
    </row>
    <row r="776">
      <c r="A776" s="23">
        <v>45889.77012190972</v>
      </c>
      <c r="B776" s="3" t="s">
        <v>329</v>
      </c>
      <c r="C776" s="3" t="s">
        <v>484</v>
      </c>
      <c r="D776" s="3" t="s">
        <v>115</v>
      </c>
      <c r="E776" s="3" t="s">
        <v>328</v>
      </c>
    </row>
    <row r="777">
      <c r="A777" s="23">
        <v>45889.770137581014</v>
      </c>
      <c r="B777" s="3" t="s">
        <v>329</v>
      </c>
      <c r="C777" s="3" t="s">
        <v>516</v>
      </c>
      <c r="D777" s="3" t="s">
        <v>115</v>
      </c>
      <c r="E777" s="3" t="s">
        <v>328</v>
      </c>
    </row>
    <row r="778">
      <c r="A778" s="23">
        <v>45889.77014145833</v>
      </c>
      <c r="B778" s="3" t="s">
        <v>329</v>
      </c>
      <c r="C778" s="3" t="s">
        <v>517</v>
      </c>
      <c r="D778" s="3" t="s">
        <v>115</v>
      </c>
      <c r="E778" s="3" t="s">
        <v>328</v>
      </c>
    </row>
    <row r="779">
      <c r="A779" s="23">
        <v>45889.77014559028</v>
      </c>
      <c r="B779" s="3" t="s">
        <v>329</v>
      </c>
      <c r="C779" s="3" t="s">
        <v>518</v>
      </c>
      <c r="D779" s="3" t="s">
        <v>115</v>
      </c>
      <c r="E779" s="3" t="s">
        <v>328</v>
      </c>
    </row>
    <row r="780">
      <c r="A780" s="23">
        <v>45889.770384641204</v>
      </c>
      <c r="B780" s="3" t="s">
        <v>329</v>
      </c>
      <c r="C780" s="3" t="s">
        <v>514</v>
      </c>
      <c r="D780" s="3" t="s">
        <v>115</v>
      </c>
      <c r="E780" s="3" t="s">
        <v>328</v>
      </c>
    </row>
    <row r="781">
      <c r="A781" s="23">
        <v>45889.77090736111</v>
      </c>
      <c r="B781" s="3" t="s">
        <v>329</v>
      </c>
      <c r="C781" s="3" t="s">
        <v>519</v>
      </c>
      <c r="D781" s="3" t="s">
        <v>115</v>
      </c>
      <c r="E781" s="3" t="s">
        <v>328</v>
      </c>
    </row>
    <row r="782">
      <c r="A782" s="23">
        <v>45889.77290815972</v>
      </c>
      <c r="B782" s="3" t="s">
        <v>329</v>
      </c>
      <c r="C782" s="3" t="s">
        <v>509</v>
      </c>
      <c r="D782" s="3" t="s">
        <v>115</v>
      </c>
      <c r="E782" s="3" t="s">
        <v>328</v>
      </c>
    </row>
    <row r="783">
      <c r="A783" s="23">
        <v>45889.772912175926</v>
      </c>
      <c r="B783" s="3" t="s">
        <v>329</v>
      </c>
      <c r="C783" s="3" t="s">
        <v>509</v>
      </c>
      <c r="D783" s="3" t="s">
        <v>115</v>
      </c>
      <c r="E783" s="3" t="s">
        <v>328</v>
      </c>
    </row>
    <row r="784">
      <c r="A784" s="23">
        <v>45889.77291649306</v>
      </c>
      <c r="B784" s="3" t="s">
        <v>329</v>
      </c>
      <c r="C784" s="3" t="s">
        <v>509</v>
      </c>
      <c r="D784" s="3" t="s">
        <v>115</v>
      </c>
      <c r="E784" s="3" t="s">
        <v>328</v>
      </c>
    </row>
    <row r="785">
      <c r="A785" s="23">
        <v>45889.77292296296</v>
      </c>
      <c r="B785" s="3" t="s">
        <v>329</v>
      </c>
      <c r="C785" s="3" t="s">
        <v>509</v>
      </c>
      <c r="D785" s="3" t="s">
        <v>115</v>
      </c>
      <c r="E785" s="3" t="s">
        <v>328</v>
      </c>
    </row>
    <row r="786">
      <c r="A786" s="23">
        <v>45889.77292711806</v>
      </c>
      <c r="B786" s="3" t="s">
        <v>329</v>
      </c>
      <c r="C786" s="3" t="s">
        <v>509</v>
      </c>
      <c r="D786" s="3" t="s">
        <v>115</v>
      </c>
      <c r="E786" s="3" t="s">
        <v>328</v>
      </c>
    </row>
    <row r="787">
      <c r="A787" s="23">
        <v>45889.77293976852</v>
      </c>
      <c r="B787" s="3" t="s">
        <v>329</v>
      </c>
      <c r="C787" s="3" t="s">
        <v>510</v>
      </c>
      <c r="D787" s="3" t="s">
        <v>115</v>
      </c>
      <c r="E787" s="3" t="s">
        <v>328</v>
      </c>
    </row>
    <row r="788">
      <c r="A788" s="23">
        <v>45889.77294414352</v>
      </c>
      <c r="B788" s="3" t="s">
        <v>329</v>
      </c>
      <c r="C788" s="3" t="s">
        <v>510</v>
      </c>
      <c r="D788" s="3" t="s">
        <v>115</v>
      </c>
      <c r="E788" s="3" t="s">
        <v>328</v>
      </c>
    </row>
    <row r="789">
      <c r="A789" s="23">
        <v>45889.772946655095</v>
      </c>
      <c r="B789" s="3" t="s">
        <v>329</v>
      </c>
      <c r="C789" s="3" t="s">
        <v>511</v>
      </c>
      <c r="D789" s="3" t="s">
        <v>115</v>
      </c>
      <c r="E789" s="3" t="s">
        <v>328</v>
      </c>
    </row>
    <row r="790">
      <c r="A790" s="23">
        <v>45889.7885575463</v>
      </c>
      <c r="B790" s="3" t="s">
        <v>329</v>
      </c>
      <c r="C790" s="3" t="s">
        <v>484</v>
      </c>
      <c r="D790" s="3" t="s">
        <v>115</v>
      </c>
      <c r="E790" s="3" t="s">
        <v>328</v>
      </c>
    </row>
    <row r="791">
      <c r="A791" s="23">
        <v>45889.78856163194</v>
      </c>
      <c r="B791" s="3" t="s">
        <v>329</v>
      </c>
      <c r="C791" s="3" t="s">
        <v>516</v>
      </c>
      <c r="D791" s="3" t="s">
        <v>115</v>
      </c>
      <c r="E791" s="3" t="s">
        <v>328</v>
      </c>
    </row>
    <row r="792">
      <c r="A792" s="23">
        <v>45889.78856768519</v>
      </c>
      <c r="B792" s="3" t="s">
        <v>329</v>
      </c>
      <c r="C792" s="3" t="s">
        <v>517</v>
      </c>
      <c r="D792" s="3" t="s">
        <v>115</v>
      </c>
      <c r="E792" s="3" t="s">
        <v>328</v>
      </c>
    </row>
    <row r="793">
      <c r="A793" s="23">
        <v>45889.78857413195</v>
      </c>
      <c r="B793" s="3" t="s">
        <v>329</v>
      </c>
      <c r="C793" s="3" t="s">
        <v>518</v>
      </c>
      <c r="D793" s="3" t="s">
        <v>115</v>
      </c>
      <c r="E793" s="3" t="s">
        <v>328</v>
      </c>
    </row>
    <row r="794">
      <c r="A794" s="23">
        <v>45889.7897725463</v>
      </c>
      <c r="B794" s="3" t="s">
        <v>329</v>
      </c>
      <c r="C794" s="66" t="str">
        <f>== Starting Full Finance Automation V10 ===</f>
        <v>#ERROR!</v>
      </c>
      <c r="D794" s="3" t="s">
        <v>115</v>
      </c>
      <c r="E794" s="3" t="s">
        <v>328</v>
      </c>
    </row>
    <row r="795">
      <c r="A795" s="23">
        <v>45889.78977488426</v>
      </c>
      <c r="B795" s="3" t="s">
        <v>329</v>
      </c>
      <c r="C795" s="3" t="s">
        <v>336</v>
      </c>
      <c r="D795" s="3" t="s">
        <v>115</v>
      </c>
      <c r="E795" s="3" t="s">
        <v>328</v>
      </c>
    </row>
    <row r="796">
      <c r="A796" s="23">
        <v>45889.78978542824</v>
      </c>
      <c r="B796" s="3" t="s">
        <v>329</v>
      </c>
      <c r="C796" s="3" t="s">
        <v>459</v>
      </c>
      <c r="D796" s="3" t="s">
        <v>115</v>
      </c>
      <c r="E796" s="3" t="s">
        <v>328</v>
      </c>
    </row>
    <row r="797">
      <c r="A797" s="23">
        <v>45889.78979484954</v>
      </c>
      <c r="B797" s="3" t="s">
        <v>329</v>
      </c>
      <c r="C797" s="3" t="s">
        <v>337</v>
      </c>
      <c r="D797" s="3" t="s">
        <v>115</v>
      </c>
      <c r="E797" s="3" t="s">
        <v>328</v>
      </c>
    </row>
    <row r="798">
      <c r="A798" s="23">
        <v>45889.789824050924</v>
      </c>
      <c r="B798" s="3" t="s">
        <v>329</v>
      </c>
      <c r="C798" s="3" t="s">
        <v>338</v>
      </c>
      <c r="D798" s="3" t="s">
        <v>339</v>
      </c>
      <c r="E798" s="3" t="s">
        <v>328</v>
      </c>
    </row>
    <row r="799">
      <c r="A799" s="23">
        <v>45889.7898262963</v>
      </c>
      <c r="B799" s="3" t="s">
        <v>329</v>
      </c>
      <c r="C799" s="3" t="s">
        <v>497</v>
      </c>
      <c r="D799" s="3" t="s">
        <v>115</v>
      </c>
      <c r="E799" s="3" t="s">
        <v>328</v>
      </c>
    </row>
    <row r="800">
      <c r="A800" s="23">
        <v>45889.78983032407</v>
      </c>
      <c r="B800" s="3" t="s">
        <v>329</v>
      </c>
      <c r="C800" s="3" t="s">
        <v>342</v>
      </c>
      <c r="D800" s="3" t="s">
        <v>115</v>
      </c>
      <c r="E800" s="3" t="s">
        <v>328</v>
      </c>
    </row>
    <row r="801">
      <c r="A801" s="23">
        <v>45889.7898328125</v>
      </c>
      <c r="B801" s="3" t="s">
        <v>329</v>
      </c>
      <c r="C801" s="3" t="s">
        <v>498</v>
      </c>
      <c r="D801" s="3" t="s">
        <v>115</v>
      </c>
      <c r="E801" s="3" t="s">
        <v>328</v>
      </c>
    </row>
    <row r="802">
      <c r="A802" s="23">
        <v>45889.78983613426</v>
      </c>
      <c r="B802" s="3" t="s">
        <v>329</v>
      </c>
      <c r="C802" s="3" t="s">
        <v>499</v>
      </c>
      <c r="D802" s="3" t="s">
        <v>115</v>
      </c>
      <c r="E802" s="3" t="s">
        <v>328</v>
      </c>
    </row>
    <row r="803">
      <c r="A803" s="23">
        <v>45889.78984346065</v>
      </c>
      <c r="B803" s="3" t="s">
        <v>329</v>
      </c>
      <c r="C803" s="3" t="s">
        <v>509</v>
      </c>
      <c r="D803" s="3" t="s">
        <v>115</v>
      </c>
      <c r="E803" s="3" t="s">
        <v>328</v>
      </c>
    </row>
    <row r="804">
      <c r="A804" s="23">
        <v>45889.78984841435</v>
      </c>
      <c r="B804" s="3" t="s">
        <v>329</v>
      </c>
      <c r="C804" s="3" t="s">
        <v>509</v>
      </c>
      <c r="D804" s="3" t="s">
        <v>115</v>
      </c>
      <c r="E804" s="3" t="s">
        <v>328</v>
      </c>
    </row>
    <row r="805">
      <c r="A805" s="23">
        <v>45889.78985351852</v>
      </c>
      <c r="B805" s="3" t="s">
        <v>329</v>
      </c>
      <c r="C805" s="3" t="s">
        <v>509</v>
      </c>
      <c r="D805" s="3" t="s">
        <v>115</v>
      </c>
      <c r="E805" s="3" t="s">
        <v>328</v>
      </c>
    </row>
    <row r="806">
      <c r="A806" s="23">
        <v>45889.78985804398</v>
      </c>
      <c r="B806" s="3" t="s">
        <v>329</v>
      </c>
      <c r="C806" s="3" t="s">
        <v>509</v>
      </c>
      <c r="D806" s="3" t="s">
        <v>115</v>
      </c>
      <c r="E806" s="3" t="s">
        <v>328</v>
      </c>
    </row>
    <row r="807">
      <c r="A807" s="23">
        <v>45889.78986260417</v>
      </c>
      <c r="B807" s="3" t="s">
        <v>329</v>
      </c>
      <c r="C807" s="3" t="s">
        <v>509</v>
      </c>
      <c r="D807" s="3" t="s">
        <v>115</v>
      </c>
      <c r="E807" s="3" t="s">
        <v>328</v>
      </c>
    </row>
    <row r="808">
      <c r="A808" s="23">
        <v>45889.78986675926</v>
      </c>
      <c r="B808" s="3" t="s">
        <v>329</v>
      </c>
      <c r="C808" s="3" t="s">
        <v>510</v>
      </c>
      <c r="D808" s="3" t="s">
        <v>115</v>
      </c>
      <c r="E808" s="3" t="s">
        <v>328</v>
      </c>
    </row>
    <row r="809">
      <c r="A809" s="23">
        <v>45889.789873726855</v>
      </c>
      <c r="B809" s="3" t="s">
        <v>329</v>
      </c>
      <c r="C809" s="3" t="s">
        <v>510</v>
      </c>
      <c r="D809" s="3" t="s">
        <v>115</v>
      </c>
      <c r="E809" s="3" t="s">
        <v>328</v>
      </c>
    </row>
    <row r="810">
      <c r="A810" s="23">
        <v>45889.78987709491</v>
      </c>
      <c r="B810" s="3" t="s">
        <v>329</v>
      </c>
      <c r="C810" s="3" t="s">
        <v>511</v>
      </c>
      <c r="D810" s="3" t="s">
        <v>115</v>
      </c>
      <c r="E810" s="3" t="s">
        <v>328</v>
      </c>
    </row>
    <row r="811">
      <c r="A811" s="23">
        <v>45889.789880625</v>
      </c>
      <c r="B811" s="3" t="s">
        <v>329</v>
      </c>
      <c r="C811" s="3" t="s">
        <v>502</v>
      </c>
      <c r="D811" s="3" t="s">
        <v>115</v>
      </c>
      <c r="E811" s="3" t="s">
        <v>328</v>
      </c>
    </row>
    <row r="812">
      <c r="A812" s="23">
        <v>45889.78989568287</v>
      </c>
      <c r="B812" s="3" t="s">
        <v>329</v>
      </c>
      <c r="C812" s="3" t="s">
        <v>505</v>
      </c>
      <c r="D812" s="3" t="s">
        <v>520</v>
      </c>
      <c r="E812" s="3" t="s">
        <v>328</v>
      </c>
    </row>
    <row r="813">
      <c r="A813" s="23">
        <v>45889.78989798611</v>
      </c>
      <c r="B813" s="3" t="s">
        <v>329</v>
      </c>
      <c r="C813" s="66" t="str">
        <f>== Finance Automation V10 Complete ===</f>
        <v>#ERROR!</v>
      </c>
      <c r="D813" s="3" t="s">
        <v>521</v>
      </c>
      <c r="E813" s="3" t="s">
        <v>328</v>
      </c>
    </row>
    <row r="814">
      <c r="A814" s="23">
        <v>45889.79092373843</v>
      </c>
      <c r="B814" s="3" t="s">
        <v>329</v>
      </c>
      <c r="C814" s="3" t="s">
        <v>509</v>
      </c>
      <c r="D814" s="3" t="s">
        <v>115</v>
      </c>
      <c r="E814" s="3" t="s">
        <v>328</v>
      </c>
    </row>
    <row r="815">
      <c r="A815" s="23">
        <v>45889.790929201394</v>
      </c>
      <c r="B815" s="3" t="s">
        <v>329</v>
      </c>
      <c r="C815" s="3" t="s">
        <v>509</v>
      </c>
      <c r="D815" s="3" t="s">
        <v>115</v>
      </c>
      <c r="E815" s="3" t="s">
        <v>328</v>
      </c>
    </row>
    <row r="816">
      <c r="A816" s="23">
        <v>45889.79093582176</v>
      </c>
      <c r="B816" s="3" t="s">
        <v>329</v>
      </c>
      <c r="C816" s="3" t="s">
        <v>509</v>
      </c>
      <c r="D816" s="3" t="s">
        <v>115</v>
      </c>
      <c r="E816" s="3" t="s">
        <v>328</v>
      </c>
    </row>
    <row r="817">
      <c r="A817" s="23">
        <v>45889.790940555555</v>
      </c>
      <c r="B817" s="3" t="s">
        <v>329</v>
      </c>
      <c r="C817" s="3" t="s">
        <v>509</v>
      </c>
      <c r="D817" s="3" t="s">
        <v>115</v>
      </c>
      <c r="E817" s="3" t="s">
        <v>328</v>
      </c>
    </row>
    <row r="818">
      <c r="A818" s="23">
        <v>45889.790945162036</v>
      </c>
      <c r="B818" s="3" t="s">
        <v>329</v>
      </c>
      <c r="C818" s="3" t="s">
        <v>509</v>
      </c>
      <c r="D818" s="3" t="s">
        <v>115</v>
      </c>
      <c r="E818" s="3" t="s">
        <v>328</v>
      </c>
    </row>
    <row r="819">
      <c r="A819" s="23">
        <v>45889.79095012731</v>
      </c>
      <c r="B819" s="3" t="s">
        <v>329</v>
      </c>
      <c r="C819" s="3" t="s">
        <v>510</v>
      </c>
      <c r="D819" s="3" t="s">
        <v>115</v>
      </c>
      <c r="E819" s="3" t="s">
        <v>328</v>
      </c>
    </row>
    <row r="820">
      <c r="A820" s="23">
        <v>45889.79095466435</v>
      </c>
      <c r="B820" s="3" t="s">
        <v>329</v>
      </c>
      <c r="C820" s="3" t="s">
        <v>510</v>
      </c>
      <c r="D820" s="3" t="s">
        <v>115</v>
      </c>
      <c r="E820" s="3" t="s">
        <v>328</v>
      </c>
    </row>
    <row r="821">
      <c r="A821" s="23">
        <v>45889.79095789352</v>
      </c>
      <c r="B821" s="3" t="s">
        <v>329</v>
      </c>
      <c r="C821" s="3" t="s">
        <v>511</v>
      </c>
      <c r="D821" s="3" t="s">
        <v>115</v>
      </c>
      <c r="E821" s="3" t="s">
        <v>328</v>
      </c>
    </row>
    <row r="822">
      <c r="A822" s="23">
        <v>45889.79405902778</v>
      </c>
      <c r="B822" s="3" t="s">
        <v>329</v>
      </c>
      <c r="C822" s="3" t="s">
        <v>484</v>
      </c>
      <c r="D822" s="3" t="s">
        <v>115</v>
      </c>
      <c r="E822" s="3" t="s">
        <v>328</v>
      </c>
    </row>
    <row r="823">
      <c r="A823" s="23">
        <v>45889.79406157407</v>
      </c>
      <c r="B823" s="3" t="s">
        <v>329</v>
      </c>
      <c r="C823" s="3" t="s">
        <v>516</v>
      </c>
      <c r="D823" s="3" t="s">
        <v>115</v>
      </c>
      <c r="E823" s="3" t="s">
        <v>328</v>
      </c>
    </row>
    <row r="824">
      <c r="A824" s="23">
        <v>45889.79406550926</v>
      </c>
      <c r="B824" s="3" t="s">
        <v>329</v>
      </c>
      <c r="C824" s="3" t="s">
        <v>517</v>
      </c>
      <c r="D824" s="3" t="s">
        <v>115</v>
      </c>
      <c r="E824" s="3" t="s">
        <v>328</v>
      </c>
    </row>
    <row r="825">
      <c r="A825" s="23">
        <v>45889.79407013889</v>
      </c>
      <c r="B825" s="3" t="s">
        <v>329</v>
      </c>
      <c r="C825" s="3" t="s">
        <v>518</v>
      </c>
      <c r="D825" s="3" t="s">
        <v>115</v>
      </c>
      <c r="E825" s="3" t="s">
        <v>328</v>
      </c>
    </row>
    <row r="826">
      <c r="A826" s="23">
        <v>45889.7942675463</v>
      </c>
      <c r="B826" s="3" t="s">
        <v>329</v>
      </c>
      <c r="C826" s="66" t="str">
        <f>== Starting Full Finance Automation V10 ===</f>
        <v>#ERROR!</v>
      </c>
      <c r="D826" s="3" t="s">
        <v>115</v>
      </c>
      <c r="E826" s="3" t="s">
        <v>328</v>
      </c>
    </row>
    <row r="827">
      <c r="A827" s="23">
        <v>45889.794270011575</v>
      </c>
      <c r="B827" s="3" t="s">
        <v>329</v>
      </c>
      <c r="C827" s="3" t="s">
        <v>336</v>
      </c>
      <c r="D827" s="3" t="s">
        <v>115</v>
      </c>
      <c r="E827" s="3" t="s">
        <v>328</v>
      </c>
    </row>
    <row r="828">
      <c r="A828" s="23">
        <v>45889.79427866898</v>
      </c>
      <c r="B828" s="3" t="s">
        <v>329</v>
      </c>
      <c r="C828" s="3" t="s">
        <v>459</v>
      </c>
      <c r="D828" s="3" t="s">
        <v>115</v>
      </c>
      <c r="E828" s="3" t="s">
        <v>328</v>
      </c>
    </row>
    <row r="829">
      <c r="A829" s="23">
        <v>45889.79428599537</v>
      </c>
      <c r="B829" s="3" t="s">
        <v>329</v>
      </c>
      <c r="C829" s="3" t="s">
        <v>337</v>
      </c>
      <c r="D829" s="3" t="s">
        <v>115</v>
      </c>
      <c r="E829" s="3" t="s">
        <v>328</v>
      </c>
    </row>
    <row r="830">
      <c r="A830" s="23">
        <v>45889.79431784722</v>
      </c>
      <c r="B830" s="3" t="s">
        <v>329</v>
      </c>
      <c r="C830" s="3" t="s">
        <v>338</v>
      </c>
      <c r="D830" s="3" t="s">
        <v>339</v>
      </c>
      <c r="E830" s="3" t="s">
        <v>328</v>
      </c>
    </row>
    <row r="831">
      <c r="A831" s="23">
        <v>45889.794320625</v>
      </c>
      <c r="B831" s="3" t="s">
        <v>329</v>
      </c>
      <c r="C831" s="3" t="s">
        <v>497</v>
      </c>
      <c r="D831" s="3" t="s">
        <v>115</v>
      </c>
      <c r="E831" s="3" t="s">
        <v>328</v>
      </c>
    </row>
    <row r="832">
      <c r="A832" s="23">
        <v>45889.79432458333</v>
      </c>
      <c r="B832" s="3" t="s">
        <v>329</v>
      </c>
      <c r="C832" s="3" t="s">
        <v>342</v>
      </c>
      <c r="D832" s="3" t="s">
        <v>115</v>
      </c>
      <c r="E832" s="3" t="s">
        <v>328</v>
      </c>
    </row>
    <row r="833">
      <c r="A833" s="23">
        <v>45889.79433372685</v>
      </c>
      <c r="B833" s="3" t="s">
        <v>329</v>
      </c>
      <c r="C833" s="3" t="s">
        <v>498</v>
      </c>
      <c r="D833" s="3" t="s">
        <v>115</v>
      </c>
      <c r="E833" s="3" t="s">
        <v>328</v>
      </c>
    </row>
    <row r="834">
      <c r="A834" s="23">
        <v>45889.79433712963</v>
      </c>
      <c r="B834" s="3" t="s">
        <v>329</v>
      </c>
      <c r="C834" s="3" t="s">
        <v>499</v>
      </c>
      <c r="D834" s="3" t="s">
        <v>115</v>
      </c>
      <c r="E834" s="3" t="s">
        <v>328</v>
      </c>
    </row>
    <row r="835">
      <c r="A835" s="23">
        <v>45889.79434565972</v>
      </c>
      <c r="B835" s="3" t="s">
        <v>329</v>
      </c>
      <c r="C835" s="3" t="s">
        <v>522</v>
      </c>
      <c r="D835" s="3" t="s">
        <v>115</v>
      </c>
      <c r="E835" s="3" t="s">
        <v>328</v>
      </c>
    </row>
    <row r="836">
      <c r="A836" s="23">
        <v>45889.79434987268</v>
      </c>
      <c r="B836" s="3" t="s">
        <v>329</v>
      </c>
      <c r="C836" s="3" t="s">
        <v>523</v>
      </c>
      <c r="D836" s="3" t="s">
        <v>115</v>
      </c>
      <c r="E836" s="3" t="s">
        <v>328</v>
      </c>
    </row>
    <row r="837">
      <c r="A837" s="23">
        <v>45889.794355474536</v>
      </c>
      <c r="B837" s="3" t="s">
        <v>329</v>
      </c>
      <c r="C837" s="3" t="s">
        <v>524</v>
      </c>
      <c r="D837" s="3" t="s">
        <v>115</v>
      </c>
      <c r="E837" s="3" t="s">
        <v>328</v>
      </c>
    </row>
    <row r="838">
      <c r="A838" s="23">
        <v>45889.794359629625</v>
      </c>
      <c r="B838" s="3" t="s">
        <v>329</v>
      </c>
      <c r="C838" s="3" t="s">
        <v>525</v>
      </c>
      <c r="D838" s="3" t="s">
        <v>115</v>
      </c>
      <c r="E838" s="3" t="s">
        <v>328</v>
      </c>
    </row>
    <row r="839">
      <c r="A839" s="23">
        <v>45889.79436385416</v>
      </c>
      <c r="B839" s="3" t="s">
        <v>329</v>
      </c>
      <c r="C839" s="3" t="s">
        <v>526</v>
      </c>
      <c r="D839" s="3" t="s">
        <v>115</v>
      </c>
      <c r="E839" s="3" t="s">
        <v>328</v>
      </c>
    </row>
    <row r="840">
      <c r="A840" s="23">
        <v>45889.79436935185</v>
      </c>
      <c r="B840" s="3" t="s">
        <v>329</v>
      </c>
      <c r="C840" s="3" t="s">
        <v>527</v>
      </c>
      <c r="D840" s="3" t="s">
        <v>115</v>
      </c>
      <c r="E840" s="3" t="s">
        <v>328</v>
      </c>
    </row>
    <row r="841">
      <c r="A841" s="23">
        <v>45889.79437506944</v>
      </c>
      <c r="B841" s="3" t="s">
        <v>329</v>
      </c>
      <c r="C841" s="3" t="s">
        <v>528</v>
      </c>
      <c r="D841" s="3" t="s">
        <v>115</v>
      </c>
      <c r="E841" s="3" t="s">
        <v>328</v>
      </c>
    </row>
    <row r="842">
      <c r="A842" s="23">
        <v>45889.79437876157</v>
      </c>
      <c r="B842" s="3" t="s">
        <v>329</v>
      </c>
      <c r="C842" s="3" t="s">
        <v>511</v>
      </c>
      <c r="D842" s="3" t="s">
        <v>115</v>
      </c>
      <c r="E842" s="3" t="s">
        <v>328</v>
      </c>
    </row>
    <row r="843">
      <c r="A843" s="23">
        <v>45889.794381354164</v>
      </c>
      <c r="B843" s="3" t="s">
        <v>329</v>
      </c>
      <c r="C843" s="3" t="s">
        <v>502</v>
      </c>
      <c r="D843" s="3" t="s">
        <v>115</v>
      </c>
      <c r="E843" s="3" t="s">
        <v>328</v>
      </c>
    </row>
    <row r="844">
      <c r="A844" s="23">
        <v>45889.80209945602</v>
      </c>
      <c r="B844" s="3" t="s">
        <v>329</v>
      </c>
      <c r="C844" s="3" t="s">
        <v>518</v>
      </c>
      <c r="D844" s="3" t="s">
        <v>115</v>
      </c>
      <c r="E844" s="3" t="s">
        <v>328</v>
      </c>
    </row>
    <row r="845">
      <c r="A845" s="23">
        <v>45889.80240832176</v>
      </c>
      <c r="B845" s="3" t="s">
        <v>329</v>
      </c>
      <c r="C845" s="3" t="s">
        <v>522</v>
      </c>
      <c r="D845" s="3" t="s">
        <v>115</v>
      </c>
      <c r="E845" s="3" t="s">
        <v>328</v>
      </c>
    </row>
    <row r="846">
      <c r="A846" s="23">
        <v>45889.80241454861</v>
      </c>
      <c r="B846" s="3" t="s">
        <v>329</v>
      </c>
      <c r="C846" s="3" t="s">
        <v>523</v>
      </c>
      <c r="D846" s="3" t="s">
        <v>115</v>
      </c>
      <c r="E846" s="3" t="s">
        <v>328</v>
      </c>
    </row>
    <row r="847">
      <c r="A847" s="23">
        <v>45889.80241936343</v>
      </c>
      <c r="B847" s="3" t="s">
        <v>329</v>
      </c>
      <c r="C847" s="3" t="s">
        <v>524</v>
      </c>
      <c r="D847" s="3" t="s">
        <v>115</v>
      </c>
      <c r="E847" s="3" t="s">
        <v>328</v>
      </c>
    </row>
    <row r="848">
      <c r="A848" s="23">
        <v>45889.80243668982</v>
      </c>
      <c r="B848" s="3" t="s">
        <v>329</v>
      </c>
      <c r="C848" s="3" t="s">
        <v>525</v>
      </c>
      <c r="D848" s="3" t="s">
        <v>115</v>
      </c>
      <c r="E848" s="3" t="s">
        <v>328</v>
      </c>
    </row>
    <row r="849">
      <c r="A849" s="23">
        <v>45889.80244215278</v>
      </c>
      <c r="B849" s="3" t="s">
        <v>329</v>
      </c>
      <c r="C849" s="3" t="s">
        <v>526</v>
      </c>
      <c r="D849" s="3" t="s">
        <v>115</v>
      </c>
      <c r="E849" s="3" t="s">
        <v>328</v>
      </c>
    </row>
    <row r="850">
      <c r="A850" s="23">
        <v>45889.80244767361</v>
      </c>
      <c r="B850" s="3" t="s">
        <v>329</v>
      </c>
      <c r="C850" s="3" t="s">
        <v>527</v>
      </c>
      <c r="D850" s="3" t="s">
        <v>115</v>
      </c>
      <c r="E850" s="3" t="s">
        <v>328</v>
      </c>
    </row>
    <row r="851">
      <c r="A851" s="23">
        <v>45889.802452233795</v>
      </c>
      <c r="B851" s="3" t="s">
        <v>329</v>
      </c>
      <c r="C851" s="3" t="s">
        <v>528</v>
      </c>
      <c r="D851" s="3" t="s">
        <v>115</v>
      </c>
      <c r="E851" s="3" t="s">
        <v>328</v>
      </c>
    </row>
    <row r="852">
      <c r="A852" s="23">
        <v>45889.80245616898</v>
      </c>
      <c r="B852" s="3" t="s">
        <v>329</v>
      </c>
      <c r="C852" s="3" t="s">
        <v>511</v>
      </c>
      <c r="D852" s="3" t="s">
        <v>115</v>
      </c>
      <c r="E852" s="3" t="s">
        <v>328</v>
      </c>
    </row>
    <row r="853">
      <c r="A853" s="23">
        <v>45889.80772152777</v>
      </c>
      <c r="B853" s="3" t="s">
        <v>329</v>
      </c>
      <c r="C853" s="3" t="s">
        <v>518</v>
      </c>
      <c r="D853" s="3" t="s">
        <v>115</v>
      </c>
      <c r="E853" s="3" t="s">
        <v>328</v>
      </c>
    </row>
    <row r="854">
      <c r="A854" s="23">
        <v>45889.80797546296</v>
      </c>
      <c r="B854" s="3" t="s">
        <v>325</v>
      </c>
      <c r="C854" s="3" t="s">
        <v>529</v>
      </c>
      <c r="D854" s="3" t="s">
        <v>115</v>
      </c>
      <c r="E854" s="3" t="s">
        <v>328</v>
      </c>
    </row>
    <row r="855">
      <c r="A855" s="23">
        <v>45889.80980268518</v>
      </c>
      <c r="B855" s="3" t="s">
        <v>325</v>
      </c>
      <c r="C855" s="3" t="s">
        <v>530</v>
      </c>
      <c r="D855" s="3" t="s">
        <v>115</v>
      </c>
      <c r="E855" s="3" t="s">
        <v>328</v>
      </c>
    </row>
    <row r="856">
      <c r="A856" s="23">
        <v>45889.809804895835</v>
      </c>
      <c r="B856" s="3" t="s">
        <v>329</v>
      </c>
      <c r="C856" s="3" t="s">
        <v>522</v>
      </c>
      <c r="D856" s="3" t="s">
        <v>115</v>
      </c>
      <c r="E856" s="3" t="s">
        <v>328</v>
      </c>
    </row>
    <row r="857">
      <c r="A857" s="23">
        <v>45889.809809513885</v>
      </c>
      <c r="B857" s="3" t="s">
        <v>325</v>
      </c>
      <c r="C857" s="3" t="s">
        <v>531</v>
      </c>
      <c r="D857" s="3" t="s">
        <v>115</v>
      </c>
      <c r="E857" s="3" t="s">
        <v>328</v>
      </c>
    </row>
    <row r="858">
      <c r="A858" s="23">
        <v>45889.80981189814</v>
      </c>
      <c r="B858" s="3" t="s">
        <v>329</v>
      </c>
      <c r="C858" s="3" t="s">
        <v>523</v>
      </c>
      <c r="D858" s="3" t="s">
        <v>115</v>
      </c>
      <c r="E858" s="3" t="s">
        <v>328</v>
      </c>
    </row>
    <row r="859">
      <c r="A859" s="23">
        <v>45889.809815810186</v>
      </c>
      <c r="B859" s="3" t="s">
        <v>325</v>
      </c>
      <c r="C859" s="3" t="s">
        <v>532</v>
      </c>
      <c r="D859" s="3" t="s">
        <v>115</v>
      </c>
      <c r="E859" s="3" t="s">
        <v>328</v>
      </c>
    </row>
    <row r="860">
      <c r="A860" s="23">
        <v>45889.80981795139</v>
      </c>
      <c r="B860" s="3" t="s">
        <v>329</v>
      </c>
      <c r="C860" s="3" t="s">
        <v>524</v>
      </c>
      <c r="D860" s="3" t="s">
        <v>115</v>
      </c>
      <c r="E860" s="3" t="s">
        <v>328</v>
      </c>
    </row>
    <row r="861">
      <c r="A861" s="23">
        <v>45889.80982171296</v>
      </c>
      <c r="B861" s="3" t="s">
        <v>325</v>
      </c>
      <c r="C861" s="3" t="s">
        <v>529</v>
      </c>
      <c r="D861" s="3" t="s">
        <v>115</v>
      </c>
      <c r="E861" s="3" t="s">
        <v>328</v>
      </c>
    </row>
    <row r="862">
      <c r="A862" s="23">
        <v>45889.80982570602</v>
      </c>
      <c r="B862" s="3" t="s">
        <v>329</v>
      </c>
      <c r="C862" s="3" t="s">
        <v>525</v>
      </c>
      <c r="D862" s="3" t="s">
        <v>115</v>
      </c>
      <c r="E862" s="3" t="s">
        <v>328</v>
      </c>
    </row>
    <row r="863">
      <c r="A863" s="23">
        <v>45889.809831990744</v>
      </c>
      <c r="B863" s="3" t="s">
        <v>325</v>
      </c>
      <c r="C863" s="3" t="s">
        <v>533</v>
      </c>
      <c r="D863" s="3" t="s">
        <v>115</v>
      </c>
      <c r="E863" s="3" t="s">
        <v>328</v>
      </c>
    </row>
    <row r="864">
      <c r="A864" s="23">
        <v>45889.809833900465</v>
      </c>
      <c r="B864" s="3" t="s">
        <v>329</v>
      </c>
      <c r="C864" s="3" t="s">
        <v>526</v>
      </c>
      <c r="D864" s="3" t="s">
        <v>115</v>
      </c>
      <c r="E864" s="3" t="s">
        <v>328</v>
      </c>
    </row>
    <row r="865">
      <c r="A865" s="23">
        <v>45889.80983748843</v>
      </c>
      <c r="B865" s="3" t="s">
        <v>329</v>
      </c>
      <c r="C865" s="3" t="s">
        <v>534</v>
      </c>
      <c r="D865" s="3" t="s">
        <v>115</v>
      </c>
      <c r="E865" s="3" t="s">
        <v>328</v>
      </c>
    </row>
    <row r="866">
      <c r="A866" s="23">
        <v>45889.80984736111</v>
      </c>
      <c r="B866" s="3" t="s">
        <v>329</v>
      </c>
      <c r="C866" s="3" t="s">
        <v>535</v>
      </c>
      <c r="D866" s="3" t="s">
        <v>115</v>
      </c>
      <c r="E866" s="3" t="s">
        <v>328</v>
      </c>
    </row>
    <row r="867">
      <c r="A867" s="23">
        <v>45889.809850081016</v>
      </c>
      <c r="B867" s="3" t="s">
        <v>329</v>
      </c>
      <c r="C867" s="3" t="s">
        <v>536</v>
      </c>
      <c r="D867" s="3" t="s">
        <v>115</v>
      </c>
      <c r="E867" s="3" t="s">
        <v>328</v>
      </c>
    </row>
    <row r="868">
      <c r="A868" s="23">
        <v>45889.80998070602</v>
      </c>
      <c r="B868" s="3" t="s">
        <v>325</v>
      </c>
      <c r="C868" s="3" t="s">
        <v>530</v>
      </c>
      <c r="D868" s="3" t="s">
        <v>115</v>
      </c>
      <c r="E868" s="3" t="s">
        <v>328</v>
      </c>
    </row>
    <row r="869">
      <c r="A869" s="23">
        <v>45889.80998280093</v>
      </c>
      <c r="B869" s="3" t="s">
        <v>329</v>
      </c>
      <c r="C869" s="3" t="s">
        <v>537</v>
      </c>
      <c r="D869" s="3" t="s">
        <v>115</v>
      </c>
      <c r="E869" s="3" t="s">
        <v>328</v>
      </c>
    </row>
    <row r="870">
      <c r="A870" s="23">
        <v>45889.80998679398</v>
      </c>
      <c r="B870" s="3" t="s">
        <v>325</v>
      </c>
      <c r="C870" s="3" t="s">
        <v>532</v>
      </c>
      <c r="D870" s="3" t="s">
        <v>115</v>
      </c>
      <c r="E870" s="3" t="s">
        <v>328</v>
      </c>
    </row>
    <row r="871">
      <c r="A871" s="23">
        <v>45889.80998855324</v>
      </c>
      <c r="B871" s="3" t="s">
        <v>329</v>
      </c>
      <c r="C871" s="3" t="s">
        <v>538</v>
      </c>
      <c r="D871" s="3" t="s">
        <v>115</v>
      </c>
      <c r="E871" s="3" t="s">
        <v>328</v>
      </c>
    </row>
    <row r="872">
      <c r="A872" s="23">
        <v>45889.80999234953</v>
      </c>
      <c r="B872" s="3" t="s">
        <v>325</v>
      </c>
      <c r="C872" s="3" t="s">
        <v>533</v>
      </c>
      <c r="D872" s="3" t="s">
        <v>115</v>
      </c>
      <c r="E872" s="3" t="s">
        <v>328</v>
      </c>
    </row>
    <row r="873">
      <c r="A873" s="23">
        <v>45889.80999436343</v>
      </c>
      <c r="B873" s="3" t="s">
        <v>329</v>
      </c>
      <c r="C873" s="3" t="s">
        <v>539</v>
      </c>
      <c r="D873" s="3" t="s">
        <v>115</v>
      </c>
      <c r="E873" s="3" t="s">
        <v>328</v>
      </c>
    </row>
    <row r="874">
      <c r="A874" s="23">
        <v>45889.80999854166</v>
      </c>
      <c r="B874" s="3" t="s">
        <v>325</v>
      </c>
      <c r="C874" s="3" t="s">
        <v>531</v>
      </c>
      <c r="D874" s="3" t="s">
        <v>115</v>
      </c>
      <c r="E874" s="3" t="s">
        <v>328</v>
      </c>
    </row>
    <row r="875">
      <c r="A875" s="23">
        <v>45889.810000405094</v>
      </c>
      <c r="B875" s="3" t="s">
        <v>329</v>
      </c>
      <c r="C875" s="3" t="s">
        <v>540</v>
      </c>
      <c r="D875" s="3" t="s">
        <v>115</v>
      </c>
      <c r="E875" s="3" t="s">
        <v>328</v>
      </c>
    </row>
    <row r="876">
      <c r="A876" s="23">
        <v>45889.810004548606</v>
      </c>
      <c r="B876" s="3" t="s">
        <v>325</v>
      </c>
      <c r="C876" s="3" t="s">
        <v>529</v>
      </c>
      <c r="D876" s="3" t="s">
        <v>115</v>
      </c>
      <c r="E876" s="3" t="s">
        <v>328</v>
      </c>
    </row>
    <row r="877">
      <c r="A877" s="23">
        <v>45889.81000709491</v>
      </c>
      <c r="B877" s="3" t="s">
        <v>329</v>
      </c>
      <c r="C877" s="3" t="s">
        <v>541</v>
      </c>
      <c r="D877" s="3" t="s">
        <v>115</v>
      </c>
      <c r="E877" s="3" t="s">
        <v>328</v>
      </c>
    </row>
    <row r="878">
      <c r="A878" s="23">
        <v>45889.810011678244</v>
      </c>
      <c r="B878" s="3" t="s">
        <v>329</v>
      </c>
      <c r="C878" s="3" t="s">
        <v>542</v>
      </c>
      <c r="D878" s="3" t="s">
        <v>115</v>
      </c>
      <c r="E878" s="3" t="s">
        <v>328</v>
      </c>
    </row>
    <row r="879">
      <c r="A879" s="23">
        <v>45889.81001528935</v>
      </c>
      <c r="B879" s="3" t="s">
        <v>329</v>
      </c>
      <c r="C879" s="3" t="s">
        <v>543</v>
      </c>
      <c r="D879" s="3" t="s">
        <v>115</v>
      </c>
      <c r="E879" s="3" t="s">
        <v>328</v>
      </c>
    </row>
    <row r="880">
      <c r="A880" s="23">
        <v>45889.813620914356</v>
      </c>
      <c r="B880" s="3" t="s">
        <v>329</v>
      </c>
      <c r="C880" s="3" t="s">
        <v>484</v>
      </c>
      <c r="D880" s="3" t="s">
        <v>115</v>
      </c>
      <c r="E880" s="3" t="s">
        <v>328</v>
      </c>
    </row>
    <row r="881">
      <c r="A881" s="23">
        <v>45889.813623298614</v>
      </c>
      <c r="B881" s="3" t="s">
        <v>329</v>
      </c>
      <c r="C881" s="3" t="s">
        <v>516</v>
      </c>
      <c r="D881" s="3" t="s">
        <v>115</v>
      </c>
      <c r="E881" s="3" t="s">
        <v>328</v>
      </c>
    </row>
    <row r="882">
      <c r="A882" s="23">
        <v>45889.813626504634</v>
      </c>
      <c r="B882" s="3" t="s">
        <v>329</v>
      </c>
      <c r="C882" s="3" t="s">
        <v>517</v>
      </c>
      <c r="D882" s="3" t="s">
        <v>115</v>
      </c>
      <c r="E882" s="3" t="s">
        <v>328</v>
      </c>
    </row>
    <row r="883">
      <c r="A883" s="23">
        <v>45889.81363016204</v>
      </c>
      <c r="B883" s="3" t="s">
        <v>329</v>
      </c>
      <c r="C883" s="3" t="s">
        <v>518</v>
      </c>
      <c r="D883" s="3" t="s">
        <v>115</v>
      </c>
      <c r="E883" s="3" t="s">
        <v>328</v>
      </c>
    </row>
    <row r="884">
      <c r="A884" s="23">
        <v>45889.81382833333</v>
      </c>
      <c r="B884" s="3" t="s">
        <v>329</v>
      </c>
      <c r="C884" s="3" t="s">
        <v>518</v>
      </c>
      <c r="D884" s="3" t="s">
        <v>115</v>
      </c>
      <c r="E884" s="3" t="s">
        <v>328</v>
      </c>
    </row>
    <row r="885">
      <c r="A885" s="23">
        <v>45889.81399011574</v>
      </c>
      <c r="B885" s="3" t="s">
        <v>329</v>
      </c>
      <c r="C885" s="3" t="s">
        <v>544</v>
      </c>
      <c r="D885" s="3" t="s">
        <v>115</v>
      </c>
      <c r="E885" s="3" t="s">
        <v>328</v>
      </c>
    </row>
    <row r="886">
      <c r="A886" s="23">
        <v>45889.81399934027</v>
      </c>
      <c r="B886" s="3" t="s">
        <v>329</v>
      </c>
      <c r="C886" s="3" t="s">
        <v>545</v>
      </c>
      <c r="D886" s="3" t="s">
        <v>115</v>
      </c>
      <c r="E886" s="3" t="s">
        <v>328</v>
      </c>
    </row>
    <row r="887">
      <c r="A887" s="23">
        <v>45889.8140050463</v>
      </c>
      <c r="B887" s="3" t="s">
        <v>329</v>
      </c>
      <c r="C887" s="3" t="s">
        <v>546</v>
      </c>
      <c r="D887" s="3" t="s">
        <v>115</v>
      </c>
      <c r="E887" s="3" t="s">
        <v>328</v>
      </c>
    </row>
    <row r="888">
      <c r="A888" s="23">
        <v>45889.81401134259</v>
      </c>
      <c r="B888" s="3" t="s">
        <v>329</v>
      </c>
      <c r="C888" s="3" t="s">
        <v>547</v>
      </c>
      <c r="D888" s="3" t="s">
        <v>115</v>
      </c>
      <c r="E888" s="3" t="s">
        <v>328</v>
      </c>
    </row>
    <row r="889">
      <c r="A889" s="23">
        <v>45889.81401642361</v>
      </c>
      <c r="B889" s="3" t="s">
        <v>329</v>
      </c>
      <c r="C889" s="3" t="s">
        <v>548</v>
      </c>
      <c r="D889" s="3" t="s">
        <v>115</v>
      </c>
      <c r="E889" s="3" t="s">
        <v>328</v>
      </c>
    </row>
    <row r="890">
      <c r="A890" s="23">
        <v>45889.81402078704</v>
      </c>
      <c r="B890" s="3" t="s">
        <v>329</v>
      </c>
      <c r="C890" s="3" t="s">
        <v>549</v>
      </c>
      <c r="D890" s="3" t="s">
        <v>115</v>
      </c>
      <c r="E890" s="3" t="s">
        <v>328</v>
      </c>
    </row>
    <row r="891">
      <c r="A891" s="23">
        <v>45889.81402585648</v>
      </c>
      <c r="B891" s="3" t="s">
        <v>329</v>
      </c>
      <c r="C891" s="3" t="s">
        <v>550</v>
      </c>
      <c r="D891" s="3" t="s">
        <v>115</v>
      </c>
      <c r="E891" s="3" t="s">
        <v>328</v>
      </c>
    </row>
    <row r="892">
      <c r="A892" s="23">
        <v>45889.81403001158</v>
      </c>
      <c r="B892" s="3" t="s">
        <v>329</v>
      </c>
      <c r="C892" s="3" t="s">
        <v>551</v>
      </c>
      <c r="D892" s="3" t="s">
        <v>115</v>
      </c>
      <c r="E892" s="3" t="s">
        <v>328</v>
      </c>
    </row>
    <row r="893">
      <c r="A893" s="23">
        <v>45889.814336932875</v>
      </c>
      <c r="B893" s="3" t="s">
        <v>329</v>
      </c>
      <c r="C893" s="3" t="s">
        <v>544</v>
      </c>
      <c r="D893" s="3" t="s">
        <v>115</v>
      </c>
      <c r="E893" s="3" t="s">
        <v>328</v>
      </c>
    </row>
    <row r="894">
      <c r="A894" s="23">
        <v>45889.814344467595</v>
      </c>
      <c r="B894" s="3" t="s">
        <v>329</v>
      </c>
      <c r="C894" s="3" t="s">
        <v>545</v>
      </c>
      <c r="D894" s="3" t="s">
        <v>115</v>
      </c>
      <c r="E894" s="3" t="s">
        <v>328</v>
      </c>
    </row>
    <row r="895">
      <c r="A895" s="23">
        <v>45889.81434798611</v>
      </c>
      <c r="B895" s="3" t="s">
        <v>329</v>
      </c>
      <c r="C895" s="3" t="s">
        <v>546</v>
      </c>
      <c r="D895" s="3" t="s">
        <v>115</v>
      </c>
      <c r="E895" s="3" t="s">
        <v>328</v>
      </c>
    </row>
    <row r="896">
      <c r="A896" s="23">
        <v>45889.814351574074</v>
      </c>
      <c r="B896" s="3" t="s">
        <v>329</v>
      </c>
      <c r="C896" s="3" t="s">
        <v>547</v>
      </c>
      <c r="D896" s="3" t="s">
        <v>115</v>
      </c>
      <c r="E896" s="3" t="s">
        <v>328</v>
      </c>
    </row>
    <row r="897">
      <c r="A897" s="23">
        <v>45889.81435393519</v>
      </c>
      <c r="B897" s="3" t="s">
        <v>329</v>
      </c>
      <c r="C897" s="3" t="s">
        <v>548</v>
      </c>
      <c r="D897" s="3" t="s">
        <v>115</v>
      </c>
      <c r="E897" s="3" t="s">
        <v>328</v>
      </c>
    </row>
    <row r="898">
      <c r="A898" s="23">
        <v>45889.81436392361</v>
      </c>
      <c r="B898" s="3" t="s">
        <v>329</v>
      </c>
      <c r="C898" s="3" t="s">
        <v>549</v>
      </c>
      <c r="D898" s="3" t="s">
        <v>115</v>
      </c>
      <c r="E898" s="3" t="s">
        <v>328</v>
      </c>
    </row>
    <row r="899">
      <c r="A899" s="23">
        <v>45889.814377476854</v>
      </c>
      <c r="B899" s="3" t="s">
        <v>329</v>
      </c>
      <c r="C899" s="3" t="s">
        <v>550</v>
      </c>
      <c r="D899" s="3" t="s">
        <v>115</v>
      </c>
      <c r="E899" s="3" t="s">
        <v>328</v>
      </c>
    </row>
    <row r="900">
      <c r="A900" s="23">
        <v>45889.81438096065</v>
      </c>
      <c r="B900" s="3" t="s">
        <v>329</v>
      </c>
      <c r="C900" s="3" t="s">
        <v>551</v>
      </c>
      <c r="D900" s="3" t="s">
        <v>115</v>
      </c>
      <c r="E900" s="3" t="s">
        <v>328</v>
      </c>
    </row>
    <row r="901">
      <c r="A901" s="23">
        <v>45889.814875625</v>
      </c>
      <c r="B901" s="3" t="s">
        <v>329</v>
      </c>
      <c r="C901" s="3" t="s">
        <v>505</v>
      </c>
      <c r="D901" s="3" t="s">
        <v>552</v>
      </c>
      <c r="E901" s="3" t="s">
        <v>328</v>
      </c>
    </row>
    <row r="902">
      <c r="A902" s="23">
        <v>45889.81495939815</v>
      </c>
      <c r="B902" s="3" t="s">
        <v>329</v>
      </c>
      <c r="C902" s="66" t="str">
        <f>== Starting Full Finance Automation V10 ===</f>
        <v>#ERROR!</v>
      </c>
      <c r="D902" s="3" t="s">
        <v>115</v>
      </c>
      <c r="E902" s="3" t="s">
        <v>328</v>
      </c>
    </row>
    <row r="903">
      <c r="A903" s="23">
        <v>45889.814961365744</v>
      </c>
      <c r="B903" s="3" t="s">
        <v>329</v>
      </c>
      <c r="C903" s="3" t="s">
        <v>336</v>
      </c>
      <c r="D903" s="3" t="s">
        <v>115</v>
      </c>
      <c r="E903" s="3" t="s">
        <v>328</v>
      </c>
    </row>
    <row r="904">
      <c r="A904" s="23">
        <v>45889.814976423615</v>
      </c>
      <c r="B904" s="3" t="s">
        <v>329</v>
      </c>
      <c r="C904" s="3" t="s">
        <v>459</v>
      </c>
      <c r="D904" s="3" t="s">
        <v>115</v>
      </c>
      <c r="E904" s="3" t="s">
        <v>328</v>
      </c>
    </row>
    <row r="905">
      <c r="A905" s="23">
        <v>45889.814994120374</v>
      </c>
      <c r="B905" s="3" t="s">
        <v>329</v>
      </c>
      <c r="C905" s="3" t="s">
        <v>337</v>
      </c>
      <c r="D905" s="3" t="s">
        <v>115</v>
      </c>
      <c r="E905" s="3" t="s">
        <v>328</v>
      </c>
    </row>
    <row r="906">
      <c r="A906" s="23">
        <v>45889.81501820602</v>
      </c>
      <c r="B906" s="3" t="s">
        <v>329</v>
      </c>
      <c r="C906" s="3" t="s">
        <v>338</v>
      </c>
      <c r="D906" s="3" t="s">
        <v>339</v>
      </c>
      <c r="E906" s="3" t="s">
        <v>328</v>
      </c>
    </row>
    <row r="907">
      <c r="A907" s="23">
        <v>45889.81502040509</v>
      </c>
      <c r="B907" s="3" t="s">
        <v>329</v>
      </c>
      <c r="C907" s="3" t="s">
        <v>497</v>
      </c>
      <c r="D907" s="3" t="s">
        <v>115</v>
      </c>
      <c r="E907" s="3" t="s">
        <v>328</v>
      </c>
    </row>
    <row r="908">
      <c r="A908" s="23">
        <v>45889.81503085648</v>
      </c>
      <c r="B908" s="3" t="s">
        <v>329</v>
      </c>
      <c r="C908" s="3" t="s">
        <v>342</v>
      </c>
      <c r="D908" s="3" t="s">
        <v>115</v>
      </c>
      <c r="E908" s="3" t="s">
        <v>328</v>
      </c>
    </row>
    <row r="909">
      <c r="A909" s="23">
        <v>45889.81503273148</v>
      </c>
      <c r="B909" s="3" t="s">
        <v>329</v>
      </c>
      <c r="C909" s="3" t="s">
        <v>498</v>
      </c>
      <c r="D909" s="3" t="s">
        <v>115</v>
      </c>
      <c r="E909" s="3" t="s">
        <v>328</v>
      </c>
    </row>
    <row r="910">
      <c r="A910" s="23">
        <v>45889.81503564815</v>
      </c>
      <c r="B910" s="3" t="s">
        <v>329</v>
      </c>
      <c r="C910" s="3" t="s">
        <v>499</v>
      </c>
      <c r="D910" s="3" t="s">
        <v>115</v>
      </c>
      <c r="E910" s="3" t="s">
        <v>328</v>
      </c>
    </row>
    <row r="911">
      <c r="A911" s="23">
        <v>45889.815054120365</v>
      </c>
      <c r="B911" s="3" t="s">
        <v>325</v>
      </c>
      <c r="C911" s="3" t="s">
        <v>530</v>
      </c>
      <c r="D911" s="3" t="s">
        <v>115</v>
      </c>
      <c r="E911" s="3" t="s">
        <v>328</v>
      </c>
    </row>
    <row r="912">
      <c r="A912" s="23">
        <v>45889.81505859953</v>
      </c>
      <c r="B912" s="3" t="s">
        <v>325</v>
      </c>
      <c r="C912" s="3" t="s">
        <v>553</v>
      </c>
      <c r="D912" s="3" t="s">
        <v>115</v>
      </c>
      <c r="E912" s="3" t="s">
        <v>328</v>
      </c>
    </row>
    <row r="913">
      <c r="A913" s="23">
        <v>45889.81506060185</v>
      </c>
      <c r="B913" s="3" t="s">
        <v>329</v>
      </c>
      <c r="C913" s="3" t="s">
        <v>522</v>
      </c>
      <c r="D913" s="3" t="s">
        <v>115</v>
      </c>
      <c r="E913" s="3" t="s">
        <v>328</v>
      </c>
    </row>
    <row r="914">
      <c r="A914" s="23">
        <v>45889.81506454861</v>
      </c>
      <c r="B914" s="3" t="s">
        <v>325</v>
      </c>
      <c r="C914" s="3" t="s">
        <v>531</v>
      </c>
      <c r="D914" s="3" t="s">
        <v>115</v>
      </c>
      <c r="E914" s="3" t="s">
        <v>328</v>
      </c>
    </row>
    <row r="915">
      <c r="A915" s="23">
        <v>45889.81506954861</v>
      </c>
      <c r="B915" s="3" t="s">
        <v>325</v>
      </c>
      <c r="C915" s="3" t="s">
        <v>554</v>
      </c>
      <c r="D915" s="3" t="s">
        <v>115</v>
      </c>
      <c r="E915" s="3" t="s">
        <v>328</v>
      </c>
    </row>
    <row r="916">
      <c r="A916" s="23">
        <v>45889.81507174768</v>
      </c>
      <c r="B916" s="3" t="s">
        <v>329</v>
      </c>
      <c r="C916" s="3" t="s">
        <v>523</v>
      </c>
      <c r="D916" s="3" t="s">
        <v>115</v>
      </c>
      <c r="E916" s="3" t="s">
        <v>328</v>
      </c>
    </row>
    <row r="917">
      <c r="A917" s="23">
        <v>45889.81507680556</v>
      </c>
      <c r="B917" s="3" t="s">
        <v>325</v>
      </c>
      <c r="C917" s="3" t="s">
        <v>532</v>
      </c>
      <c r="D917" s="3" t="s">
        <v>115</v>
      </c>
      <c r="E917" s="3" t="s">
        <v>328</v>
      </c>
    </row>
    <row r="918">
      <c r="A918" s="23">
        <v>45889.8150815625</v>
      </c>
      <c r="B918" s="3" t="s">
        <v>325</v>
      </c>
      <c r="C918" s="3" t="s">
        <v>555</v>
      </c>
      <c r="D918" s="3" t="s">
        <v>115</v>
      </c>
      <c r="E918" s="3" t="s">
        <v>328</v>
      </c>
    </row>
    <row r="919">
      <c r="A919" s="23">
        <v>45889.815083634254</v>
      </c>
      <c r="B919" s="3" t="s">
        <v>329</v>
      </c>
      <c r="C919" s="3" t="s">
        <v>524</v>
      </c>
      <c r="D919" s="3" t="s">
        <v>115</v>
      </c>
      <c r="E919" s="3" t="s">
        <v>328</v>
      </c>
    </row>
    <row r="920">
      <c r="A920" s="23">
        <v>45889.81508752315</v>
      </c>
      <c r="B920" s="3" t="s">
        <v>325</v>
      </c>
      <c r="C920" s="3" t="s">
        <v>529</v>
      </c>
      <c r="D920" s="3" t="s">
        <v>115</v>
      </c>
      <c r="E920" s="3" t="s">
        <v>328</v>
      </c>
    </row>
    <row r="921">
      <c r="A921" s="23">
        <v>45889.8150921412</v>
      </c>
      <c r="B921" s="3" t="s">
        <v>325</v>
      </c>
      <c r="C921" s="3" t="s">
        <v>556</v>
      </c>
      <c r="D921" s="3" t="s">
        <v>115</v>
      </c>
      <c r="E921" s="3" t="s">
        <v>328</v>
      </c>
    </row>
    <row r="922">
      <c r="A922" s="23">
        <v>45889.815094571764</v>
      </c>
      <c r="B922" s="3" t="s">
        <v>329</v>
      </c>
      <c r="C922" s="3" t="s">
        <v>525</v>
      </c>
      <c r="D922" s="3" t="s">
        <v>115</v>
      </c>
      <c r="E922" s="3" t="s">
        <v>328</v>
      </c>
    </row>
    <row r="923">
      <c r="A923" s="23">
        <v>45889.815098182866</v>
      </c>
      <c r="B923" s="3" t="s">
        <v>325</v>
      </c>
      <c r="C923" s="3" t="s">
        <v>533</v>
      </c>
      <c r="D923" s="3" t="s">
        <v>115</v>
      </c>
      <c r="E923" s="3" t="s">
        <v>328</v>
      </c>
    </row>
    <row r="924">
      <c r="A924" s="23">
        <v>45889.81510591436</v>
      </c>
      <c r="B924" s="3" t="s">
        <v>325</v>
      </c>
      <c r="C924" s="3" t="s">
        <v>557</v>
      </c>
      <c r="D924" s="3" t="s">
        <v>115</v>
      </c>
      <c r="E924" s="3" t="s">
        <v>328</v>
      </c>
    </row>
    <row r="925">
      <c r="A925" s="23">
        <v>45889.81510799768</v>
      </c>
      <c r="B925" s="3" t="s">
        <v>329</v>
      </c>
      <c r="C925" s="3" t="s">
        <v>526</v>
      </c>
      <c r="D925" s="3" t="s">
        <v>115</v>
      </c>
      <c r="E925" s="3" t="s">
        <v>328</v>
      </c>
    </row>
    <row r="926">
      <c r="A926" s="23">
        <v>45889.81511265047</v>
      </c>
      <c r="B926" s="3" t="s">
        <v>329</v>
      </c>
      <c r="C926" s="3" t="s">
        <v>534</v>
      </c>
      <c r="D926" s="3" t="s">
        <v>115</v>
      </c>
      <c r="E926" s="3" t="s">
        <v>328</v>
      </c>
    </row>
    <row r="927">
      <c r="A927" s="23">
        <v>45889.81511649306</v>
      </c>
      <c r="B927" s="3" t="s">
        <v>329</v>
      </c>
      <c r="C927" s="3" t="s">
        <v>535</v>
      </c>
      <c r="D927" s="3" t="s">
        <v>115</v>
      </c>
      <c r="E927" s="3" t="s">
        <v>328</v>
      </c>
    </row>
    <row r="928">
      <c r="A928" s="23">
        <v>45889.815118495375</v>
      </c>
      <c r="B928" s="3" t="s">
        <v>329</v>
      </c>
      <c r="C928" s="3" t="s">
        <v>536</v>
      </c>
      <c r="D928" s="3" t="s">
        <v>115</v>
      </c>
      <c r="E928" s="3" t="s">
        <v>328</v>
      </c>
    </row>
    <row r="929">
      <c r="A929" s="23">
        <v>45889.81512063657</v>
      </c>
      <c r="B929" s="3" t="s">
        <v>329</v>
      </c>
      <c r="C929" s="3" t="s">
        <v>502</v>
      </c>
      <c r="D929" s="3" t="s">
        <v>115</v>
      </c>
      <c r="E929" s="3" t="s">
        <v>328</v>
      </c>
    </row>
    <row r="930">
      <c r="A930" s="23">
        <v>45889.81513271991</v>
      </c>
      <c r="B930" s="3" t="s">
        <v>329</v>
      </c>
      <c r="C930" s="3" t="s">
        <v>505</v>
      </c>
      <c r="D930" s="3" t="s">
        <v>558</v>
      </c>
      <c r="E930" s="3" t="s">
        <v>328</v>
      </c>
    </row>
    <row r="931">
      <c r="A931" s="23">
        <v>45889.815134756944</v>
      </c>
      <c r="B931" s="3" t="s">
        <v>329</v>
      </c>
      <c r="C931" s="66" t="str">
        <f>== Finance Automation V10 Complete ===</f>
        <v>#ERROR!</v>
      </c>
      <c r="D931" s="3" t="s">
        <v>559</v>
      </c>
      <c r="E931" s="3" t="s">
        <v>328</v>
      </c>
    </row>
    <row r="932">
      <c r="A932" s="23">
        <v>45889.815327766206</v>
      </c>
      <c r="B932" s="3" t="s">
        <v>325</v>
      </c>
      <c r="C932" s="3" t="s">
        <v>529</v>
      </c>
      <c r="D932" s="3" t="s">
        <v>115</v>
      </c>
      <c r="E932" s="3" t="s">
        <v>328</v>
      </c>
    </row>
    <row r="933">
      <c r="A933" s="23">
        <v>45889.81533336805</v>
      </c>
      <c r="B933" s="3" t="s">
        <v>325</v>
      </c>
      <c r="C933" s="3" t="s">
        <v>556</v>
      </c>
      <c r="D933" s="3" t="s">
        <v>115</v>
      </c>
      <c r="E933" s="3" t="s">
        <v>328</v>
      </c>
    </row>
    <row r="934">
      <c r="A934" s="23">
        <v>45889.81533614583</v>
      </c>
      <c r="B934" s="3" t="s">
        <v>329</v>
      </c>
      <c r="C934" s="3" t="s">
        <v>560</v>
      </c>
      <c r="D934" s="3" t="s">
        <v>115</v>
      </c>
      <c r="E934" s="3" t="s">
        <v>328</v>
      </c>
    </row>
    <row r="935">
      <c r="A935" s="23">
        <v>45889.81548172454</v>
      </c>
      <c r="B935" s="3" t="s">
        <v>325</v>
      </c>
      <c r="C935" s="3" t="s">
        <v>530</v>
      </c>
      <c r="D935" s="3" t="s">
        <v>115</v>
      </c>
      <c r="E935" s="3" t="s">
        <v>328</v>
      </c>
    </row>
    <row r="936">
      <c r="A936" s="23">
        <v>45889.815486782405</v>
      </c>
      <c r="B936" s="3" t="s">
        <v>325</v>
      </c>
      <c r="C936" s="3" t="s">
        <v>553</v>
      </c>
      <c r="D936" s="3" t="s">
        <v>115</v>
      </c>
      <c r="E936" s="3" t="s">
        <v>328</v>
      </c>
    </row>
    <row r="937">
      <c r="A937" s="23">
        <v>45889.81548975695</v>
      </c>
      <c r="B937" s="3" t="s">
        <v>329</v>
      </c>
      <c r="C937" s="3" t="s">
        <v>537</v>
      </c>
      <c r="D937" s="3" t="s">
        <v>115</v>
      </c>
      <c r="E937" s="3" t="s">
        <v>328</v>
      </c>
    </row>
    <row r="938">
      <c r="A938" s="23">
        <v>45889.81549405093</v>
      </c>
      <c r="B938" s="3" t="s">
        <v>325</v>
      </c>
      <c r="C938" s="3" t="s">
        <v>532</v>
      </c>
      <c r="D938" s="3" t="s">
        <v>115</v>
      </c>
      <c r="E938" s="3" t="s">
        <v>328</v>
      </c>
    </row>
    <row r="939">
      <c r="A939" s="23">
        <v>45889.8155021875</v>
      </c>
      <c r="B939" s="3" t="s">
        <v>325</v>
      </c>
      <c r="C939" s="3" t="s">
        <v>555</v>
      </c>
      <c r="D939" s="3" t="s">
        <v>115</v>
      </c>
      <c r="E939" s="3" t="s">
        <v>328</v>
      </c>
    </row>
    <row r="940">
      <c r="A940" s="23">
        <v>45889.815505046296</v>
      </c>
      <c r="B940" s="3" t="s">
        <v>329</v>
      </c>
      <c r="C940" s="3" t="s">
        <v>538</v>
      </c>
      <c r="D940" s="3" t="s">
        <v>115</v>
      </c>
      <c r="E940" s="3" t="s">
        <v>328</v>
      </c>
    </row>
    <row r="941">
      <c r="A941" s="23">
        <v>45889.81550949074</v>
      </c>
      <c r="B941" s="3" t="s">
        <v>325</v>
      </c>
      <c r="C941" s="3" t="s">
        <v>533</v>
      </c>
      <c r="D941" s="3" t="s">
        <v>115</v>
      </c>
      <c r="E941" s="3" t="s">
        <v>328</v>
      </c>
    </row>
    <row r="942">
      <c r="A942" s="23">
        <v>45889.81551402778</v>
      </c>
      <c r="B942" s="3" t="s">
        <v>325</v>
      </c>
      <c r="C942" s="3" t="s">
        <v>557</v>
      </c>
      <c r="D942" s="3" t="s">
        <v>115</v>
      </c>
      <c r="E942" s="3" t="s">
        <v>328</v>
      </c>
    </row>
    <row r="943">
      <c r="A943" s="23">
        <v>45889.81551677083</v>
      </c>
      <c r="B943" s="3" t="s">
        <v>329</v>
      </c>
      <c r="C943" s="3" t="s">
        <v>539</v>
      </c>
      <c r="D943" s="3" t="s">
        <v>115</v>
      </c>
      <c r="E943" s="3" t="s">
        <v>328</v>
      </c>
    </row>
    <row r="944">
      <c r="A944" s="23">
        <v>45889.8155208449</v>
      </c>
      <c r="B944" s="3" t="s">
        <v>325</v>
      </c>
      <c r="C944" s="3" t="s">
        <v>531</v>
      </c>
      <c r="D944" s="3" t="s">
        <v>115</v>
      </c>
      <c r="E944" s="3" t="s">
        <v>328</v>
      </c>
    </row>
    <row r="945">
      <c r="A945" s="23">
        <v>45889.81552658565</v>
      </c>
      <c r="B945" s="3" t="s">
        <v>325</v>
      </c>
      <c r="C945" s="3" t="s">
        <v>554</v>
      </c>
      <c r="D945" s="3" t="s">
        <v>115</v>
      </c>
      <c r="E945" s="3" t="s">
        <v>328</v>
      </c>
    </row>
    <row r="946">
      <c r="A946" s="23">
        <v>45889.81552931713</v>
      </c>
      <c r="B946" s="3" t="s">
        <v>329</v>
      </c>
      <c r="C946" s="3" t="s">
        <v>540</v>
      </c>
      <c r="D946" s="3" t="s">
        <v>115</v>
      </c>
      <c r="E946" s="3" t="s">
        <v>328</v>
      </c>
    </row>
    <row r="947">
      <c r="A947" s="23">
        <v>45889.815533182875</v>
      </c>
      <c r="B947" s="3" t="s">
        <v>325</v>
      </c>
      <c r="C947" s="3" t="s">
        <v>529</v>
      </c>
      <c r="D947" s="3" t="s">
        <v>115</v>
      </c>
      <c r="E947" s="3" t="s">
        <v>328</v>
      </c>
    </row>
    <row r="948">
      <c r="A948" s="23">
        <v>45889.81553807871</v>
      </c>
      <c r="B948" s="3" t="s">
        <v>325</v>
      </c>
      <c r="C948" s="3" t="s">
        <v>556</v>
      </c>
      <c r="D948" s="3" t="s">
        <v>115</v>
      </c>
      <c r="E948" s="3" t="s">
        <v>328</v>
      </c>
    </row>
    <row r="949">
      <c r="A949" s="23">
        <v>45889.81554065972</v>
      </c>
      <c r="B949" s="3" t="s">
        <v>329</v>
      </c>
      <c r="C949" s="3" t="s">
        <v>541</v>
      </c>
      <c r="D949" s="3" t="s">
        <v>115</v>
      </c>
      <c r="E949" s="3" t="s">
        <v>328</v>
      </c>
    </row>
    <row r="950">
      <c r="A950" s="23">
        <v>45889.81554982639</v>
      </c>
      <c r="B950" s="3" t="s">
        <v>329</v>
      </c>
      <c r="C950" s="3" t="s">
        <v>542</v>
      </c>
      <c r="D950" s="3" t="s">
        <v>115</v>
      </c>
      <c r="E950" s="3" t="s">
        <v>328</v>
      </c>
    </row>
    <row r="951">
      <c r="A951" s="23">
        <v>45889.815554016204</v>
      </c>
      <c r="B951" s="3" t="s">
        <v>329</v>
      </c>
      <c r="C951" s="3" t="s">
        <v>543</v>
      </c>
      <c r="D951" s="3" t="s">
        <v>115</v>
      </c>
      <c r="E951" s="3" t="s">
        <v>328</v>
      </c>
    </row>
    <row r="952">
      <c r="A952" s="23">
        <v>45889.81681765046</v>
      </c>
      <c r="B952" s="3" t="s">
        <v>329</v>
      </c>
      <c r="C952" s="3" t="s">
        <v>514</v>
      </c>
      <c r="D952" s="3" t="s">
        <v>115</v>
      </c>
      <c r="E952" s="3" t="s">
        <v>328</v>
      </c>
    </row>
    <row r="953">
      <c r="A953" s="23">
        <v>45889.81697586806</v>
      </c>
      <c r="B953" s="3" t="s">
        <v>329</v>
      </c>
      <c r="C953" s="3" t="s">
        <v>342</v>
      </c>
      <c r="D953" s="3" t="s">
        <v>115</v>
      </c>
      <c r="E953" s="3" t="s">
        <v>328</v>
      </c>
    </row>
    <row r="954">
      <c r="A954" s="23">
        <v>45889.824653449075</v>
      </c>
      <c r="B954" s="3" t="s">
        <v>329</v>
      </c>
      <c r="C954" s="3" t="s">
        <v>484</v>
      </c>
      <c r="D954" s="3" t="s">
        <v>115</v>
      </c>
      <c r="E954" s="3" t="s">
        <v>328</v>
      </c>
    </row>
    <row r="955">
      <c r="A955" s="23">
        <v>45889.824655902776</v>
      </c>
      <c r="B955" s="3" t="s">
        <v>329</v>
      </c>
      <c r="C955" s="3" t="s">
        <v>516</v>
      </c>
      <c r="D955" s="3" t="s">
        <v>115</v>
      </c>
      <c r="E955" s="3" t="s">
        <v>328</v>
      </c>
    </row>
    <row r="956">
      <c r="A956" s="23">
        <v>45889.82465892361</v>
      </c>
      <c r="B956" s="3" t="s">
        <v>329</v>
      </c>
      <c r="C956" s="3" t="s">
        <v>517</v>
      </c>
      <c r="D956" s="3" t="s">
        <v>115</v>
      </c>
      <c r="E956" s="3" t="s">
        <v>328</v>
      </c>
    </row>
    <row r="957">
      <c r="A957" s="23">
        <v>45889.82466951389</v>
      </c>
      <c r="B957" s="3" t="s">
        <v>329</v>
      </c>
      <c r="C957" s="3" t="s">
        <v>518</v>
      </c>
      <c r="D957" s="3" t="s">
        <v>115</v>
      </c>
      <c r="E957" s="3" t="s">
        <v>328</v>
      </c>
    </row>
    <row r="958">
      <c r="A958" s="23">
        <v>45889.825428298616</v>
      </c>
      <c r="B958" s="3" t="s">
        <v>325</v>
      </c>
      <c r="C958" s="3" t="s">
        <v>530</v>
      </c>
      <c r="D958" s="3" t="s">
        <v>115</v>
      </c>
      <c r="E958" s="3" t="s">
        <v>328</v>
      </c>
    </row>
    <row r="959">
      <c r="A959" s="23">
        <v>45889.82543420139</v>
      </c>
      <c r="B959" s="3" t="s">
        <v>325</v>
      </c>
      <c r="C959" s="3" t="s">
        <v>553</v>
      </c>
      <c r="D959" s="3" t="s">
        <v>115</v>
      </c>
      <c r="E959" s="3" t="s">
        <v>328</v>
      </c>
    </row>
    <row r="960">
      <c r="A960" s="23">
        <v>45889.82543765046</v>
      </c>
      <c r="B960" s="3" t="s">
        <v>329</v>
      </c>
      <c r="C960" s="3" t="s">
        <v>537</v>
      </c>
      <c r="D960" s="3" t="s">
        <v>115</v>
      </c>
      <c r="E960" s="3" t="s">
        <v>328</v>
      </c>
    </row>
    <row r="961">
      <c r="A961" s="23">
        <v>45889.82544288195</v>
      </c>
      <c r="B961" s="3" t="s">
        <v>325</v>
      </c>
      <c r="C961" s="3" t="s">
        <v>532</v>
      </c>
      <c r="D961" s="3" t="s">
        <v>115</v>
      </c>
      <c r="E961" s="3" t="s">
        <v>328</v>
      </c>
    </row>
    <row r="962">
      <c r="A962" s="23">
        <v>45889.82544836805</v>
      </c>
      <c r="B962" s="3" t="s">
        <v>325</v>
      </c>
      <c r="C962" s="3" t="s">
        <v>555</v>
      </c>
      <c r="D962" s="3" t="s">
        <v>115</v>
      </c>
      <c r="E962" s="3" t="s">
        <v>328</v>
      </c>
    </row>
    <row r="963">
      <c r="A963" s="23">
        <v>45889.82545146991</v>
      </c>
      <c r="B963" s="3" t="s">
        <v>329</v>
      </c>
      <c r="C963" s="3" t="s">
        <v>538</v>
      </c>
      <c r="D963" s="3" t="s">
        <v>115</v>
      </c>
      <c r="E963" s="3" t="s">
        <v>328</v>
      </c>
    </row>
    <row r="964">
      <c r="A964" s="23">
        <v>45889.825455983795</v>
      </c>
      <c r="B964" s="3" t="s">
        <v>325</v>
      </c>
      <c r="C964" s="3" t="s">
        <v>533</v>
      </c>
      <c r="D964" s="3" t="s">
        <v>115</v>
      </c>
      <c r="E964" s="3" t="s">
        <v>328</v>
      </c>
    </row>
    <row r="965">
      <c r="A965" s="23">
        <v>45889.825461134256</v>
      </c>
      <c r="B965" s="3" t="s">
        <v>325</v>
      </c>
      <c r="C965" s="3" t="s">
        <v>557</v>
      </c>
      <c r="D965" s="3" t="s">
        <v>115</v>
      </c>
      <c r="E965" s="3" t="s">
        <v>328</v>
      </c>
    </row>
    <row r="966">
      <c r="A966" s="23">
        <v>45889.82546409722</v>
      </c>
      <c r="B966" s="3" t="s">
        <v>329</v>
      </c>
      <c r="C966" s="3" t="s">
        <v>539</v>
      </c>
      <c r="D966" s="3" t="s">
        <v>115</v>
      </c>
      <c r="E966" s="3" t="s">
        <v>328</v>
      </c>
    </row>
    <row r="967">
      <c r="A967" s="23">
        <v>45889.82546853009</v>
      </c>
      <c r="B967" s="3" t="s">
        <v>325</v>
      </c>
      <c r="C967" s="3" t="s">
        <v>531</v>
      </c>
      <c r="D967" s="3" t="s">
        <v>115</v>
      </c>
      <c r="E967" s="3" t="s">
        <v>328</v>
      </c>
    </row>
    <row r="968">
      <c r="A968" s="23">
        <v>45889.82547414352</v>
      </c>
      <c r="B968" s="3" t="s">
        <v>325</v>
      </c>
      <c r="C968" s="3" t="s">
        <v>554</v>
      </c>
      <c r="D968" s="3" t="s">
        <v>115</v>
      </c>
      <c r="E968" s="3" t="s">
        <v>328</v>
      </c>
    </row>
    <row r="969">
      <c r="A969" s="23">
        <v>45889.825477280094</v>
      </c>
      <c r="B969" s="3" t="s">
        <v>329</v>
      </c>
      <c r="C969" s="3" t="s">
        <v>540</v>
      </c>
      <c r="D969" s="3" t="s">
        <v>115</v>
      </c>
      <c r="E969" s="3" t="s">
        <v>328</v>
      </c>
    </row>
    <row r="970">
      <c r="A970" s="23">
        <v>45889.825481493055</v>
      </c>
      <c r="B970" s="3" t="s">
        <v>325</v>
      </c>
      <c r="C970" s="3" t="s">
        <v>529</v>
      </c>
      <c r="D970" s="3" t="s">
        <v>115</v>
      </c>
      <c r="E970" s="3" t="s">
        <v>328</v>
      </c>
    </row>
    <row r="971">
      <c r="A971" s="23">
        <v>45889.82548726852</v>
      </c>
      <c r="B971" s="3" t="s">
        <v>325</v>
      </c>
      <c r="C971" s="3" t="s">
        <v>556</v>
      </c>
      <c r="D971" s="3" t="s">
        <v>115</v>
      </c>
      <c r="E971" s="3" t="s">
        <v>328</v>
      </c>
    </row>
    <row r="972">
      <c r="A972" s="23">
        <v>45889.82549015046</v>
      </c>
      <c r="B972" s="3" t="s">
        <v>329</v>
      </c>
      <c r="C972" s="3" t="s">
        <v>541</v>
      </c>
      <c r="D972" s="3" t="s">
        <v>115</v>
      </c>
      <c r="E972" s="3" t="s">
        <v>328</v>
      </c>
    </row>
    <row r="973">
      <c r="A973" s="23">
        <v>45889.825507291665</v>
      </c>
      <c r="B973" s="3" t="s">
        <v>329</v>
      </c>
      <c r="C973" s="3" t="s">
        <v>542</v>
      </c>
      <c r="D973" s="3" t="s">
        <v>115</v>
      </c>
      <c r="E973" s="3" t="s">
        <v>328</v>
      </c>
    </row>
    <row r="974">
      <c r="A974" s="23">
        <v>45889.82551214121</v>
      </c>
      <c r="B974" s="3" t="s">
        <v>329</v>
      </c>
      <c r="C974" s="3" t="s">
        <v>543</v>
      </c>
      <c r="D974" s="3" t="s">
        <v>115</v>
      </c>
      <c r="E974" s="3" t="s">
        <v>328</v>
      </c>
    </row>
    <row r="975">
      <c r="A975" s="23">
        <v>45889.82749015046</v>
      </c>
      <c r="B975" s="3" t="s">
        <v>329</v>
      </c>
      <c r="C975" s="66" t="str">
        <f>== Testing Crypto API Calls ===</f>
        <v>#ERROR!</v>
      </c>
      <c r="D975" s="3" t="s">
        <v>115</v>
      </c>
      <c r="E975" s="3" t="s">
        <v>328</v>
      </c>
    </row>
    <row r="976">
      <c r="A976" s="23">
        <v>45889.82749326389</v>
      </c>
      <c r="B976" s="3" t="s">
        <v>329</v>
      </c>
      <c r="C976" s="3" t="s">
        <v>561</v>
      </c>
      <c r="D976" s="3" t="s">
        <v>115</v>
      </c>
      <c r="E976" s="3" t="s">
        <v>328</v>
      </c>
    </row>
    <row r="977">
      <c r="A977" s="23">
        <v>45889.827524374996</v>
      </c>
      <c r="B977" s="3" t="s">
        <v>329</v>
      </c>
      <c r="C977" s="3" t="s">
        <v>562</v>
      </c>
      <c r="D977" s="3" t="s">
        <v>115</v>
      </c>
      <c r="E977" s="3" t="s">
        <v>328</v>
      </c>
    </row>
    <row r="978">
      <c r="A978" s="23">
        <v>45889.82752946759</v>
      </c>
      <c r="B978" s="3" t="s">
        <v>329</v>
      </c>
      <c r="C978" s="3" t="s">
        <v>563</v>
      </c>
      <c r="D978" s="3" t="s">
        <v>115</v>
      </c>
      <c r="E978" s="3" t="s">
        <v>328</v>
      </c>
    </row>
    <row r="979">
      <c r="A979" s="23">
        <v>45889.82753203704</v>
      </c>
      <c r="B979" s="3" t="s">
        <v>325</v>
      </c>
      <c r="C979" s="3" t="s">
        <v>564</v>
      </c>
      <c r="D979" s="3" t="s">
        <v>115</v>
      </c>
      <c r="E979" s="3" t="s">
        <v>328</v>
      </c>
    </row>
    <row r="980">
      <c r="A980" s="23">
        <v>45889.8275696875</v>
      </c>
      <c r="B980" s="3" t="s">
        <v>329</v>
      </c>
      <c r="C980" s="3" t="s">
        <v>565</v>
      </c>
      <c r="D980" s="3" t="s">
        <v>115</v>
      </c>
      <c r="E980" s="3" t="s">
        <v>328</v>
      </c>
    </row>
    <row r="981">
      <c r="A981" s="23">
        <v>45889.82757987268</v>
      </c>
      <c r="B981" s="3" t="s">
        <v>329</v>
      </c>
      <c r="C981" s="3" t="s">
        <v>566</v>
      </c>
      <c r="D981" s="3" t="s">
        <v>115</v>
      </c>
      <c r="E981" s="3" t="s">
        <v>328</v>
      </c>
    </row>
    <row r="982">
      <c r="A982" s="23">
        <v>45889.82758266204</v>
      </c>
      <c r="B982" s="3" t="s">
        <v>325</v>
      </c>
      <c r="C982" s="3" t="s">
        <v>567</v>
      </c>
      <c r="D982" s="3" t="s">
        <v>115</v>
      </c>
      <c r="E982" s="3" t="s">
        <v>328</v>
      </c>
    </row>
    <row r="983">
      <c r="A983" s="23">
        <v>45889.8275855324</v>
      </c>
      <c r="B983" s="3" t="s">
        <v>329</v>
      </c>
      <c r="C983" s="3" t="s">
        <v>568</v>
      </c>
      <c r="D983" s="3" t="s">
        <v>115</v>
      </c>
      <c r="E983" s="3" t="s">
        <v>328</v>
      </c>
    </row>
    <row r="984">
      <c r="A984" s="23">
        <v>45889.82759516204</v>
      </c>
      <c r="B984" s="3" t="s">
        <v>329</v>
      </c>
      <c r="C984" s="3" t="s">
        <v>569</v>
      </c>
      <c r="D984" s="3" t="s">
        <v>115</v>
      </c>
      <c r="E984" s="3" t="s">
        <v>328</v>
      </c>
    </row>
    <row r="985">
      <c r="A985" s="23">
        <v>45889.82759828704</v>
      </c>
      <c r="B985" s="3" t="s">
        <v>329</v>
      </c>
      <c r="C985" s="3" t="s">
        <v>570</v>
      </c>
      <c r="D985" s="3" t="s">
        <v>115</v>
      </c>
      <c r="E985" s="3" t="s">
        <v>328</v>
      </c>
    </row>
    <row r="986">
      <c r="A986" s="23">
        <v>45889.82760127315</v>
      </c>
      <c r="B986" s="3" t="s">
        <v>325</v>
      </c>
      <c r="C986" s="3" t="s">
        <v>571</v>
      </c>
      <c r="D986" s="3" t="s">
        <v>115</v>
      </c>
      <c r="E986" s="3" t="s">
        <v>328</v>
      </c>
    </row>
    <row r="987">
      <c r="A987" s="23">
        <v>45889.82760405092</v>
      </c>
      <c r="B987" s="3" t="s">
        <v>325</v>
      </c>
      <c r="C987" s="3" t="s">
        <v>572</v>
      </c>
      <c r="D987" s="3" t="s">
        <v>115</v>
      </c>
      <c r="E987" s="3" t="s">
        <v>328</v>
      </c>
    </row>
    <row r="988">
      <c r="A988" s="23">
        <v>45889.82760664352</v>
      </c>
      <c r="B988" s="3" t="s">
        <v>329</v>
      </c>
      <c r="C988" s="3" t="s">
        <v>573</v>
      </c>
      <c r="D988" s="3" t="s">
        <v>115</v>
      </c>
      <c r="E988" s="3" t="s">
        <v>328</v>
      </c>
    </row>
    <row r="989">
      <c r="A989" s="23">
        <v>45889.82760953704</v>
      </c>
      <c r="B989" s="3" t="s">
        <v>329</v>
      </c>
      <c r="C989" s="3" t="s">
        <v>574</v>
      </c>
      <c r="D989" s="3" t="s">
        <v>115</v>
      </c>
      <c r="E989" s="3" t="s">
        <v>328</v>
      </c>
    </row>
    <row r="990">
      <c r="A990" s="23">
        <v>45889.82767075232</v>
      </c>
      <c r="B990" s="3" t="s">
        <v>329</v>
      </c>
      <c r="C990" s="3" t="s">
        <v>575</v>
      </c>
      <c r="D990" s="3" t="s">
        <v>115</v>
      </c>
      <c r="E990" s="3" t="s">
        <v>328</v>
      </c>
    </row>
    <row r="991">
      <c r="A991" s="23">
        <v>45889.82769657407</v>
      </c>
      <c r="B991" s="3" t="s">
        <v>329</v>
      </c>
      <c r="C991" s="3" t="s">
        <v>576</v>
      </c>
      <c r="D991" s="3" t="s">
        <v>115</v>
      </c>
      <c r="E991" s="3" t="s">
        <v>328</v>
      </c>
    </row>
    <row r="992">
      <c r="A992" s="23">
        <v>45889.82770175926</v>
      </c>
      <c r="B992" s="3" t="s">
        <v>329</v>
      </c>
      <c r="C992" s="3" t="s">
        <v>577</v>
      </c>
      <c r="D992" s="3" t="s">
        <v>115</v>
      </c>
      <c r="E992" s="3" t="s">
        <v>328</v>
      </c>
    </row>
    <row r="993">
      <c r="A993" s="23">
        <v>45889.827704525465</v>
      </c>
      <c r="B993" s="3" t="s">
        <v>325</v>
      </c>
      <c r="C993" s="3" t="s">
        <v>578</v>
      </c>
      <c r="D993" s="3" t="s">
        <v>115</v>
      </c>
      <c r="E993" s="3" t="s">
        <v>328</v>
      </c>
    </row>
    <row r="994">
      <c r="A994" s="23">
        <v>45889.82774221065</v>
      </c>
      <c r="B994" s="3" t="s">
        <v>329</v>
      </c>
      <c r="C994" s="3" t="s">
        <v>579</v>
      </c>
      <c r="D994" s="3" t="s">
        <v>115</v>
      </c>
      <c r="E994" s="3" t="s">
        <v>328</v>
      </c>
    </row>
    <row r="995">
      <c r="A995" s="23">
        <v>45889.82774627315</v>
      </c>
      <c r="B995" s="3" t="s">
        <v>329</v>
      </c>
      <c r="C995" s="3" t="s">
        <v>580</v>
      </c>
      <c r="D995" s="3" t="s">
        <v>115</v>
      </c>
      <c r="E995" s="3" t="s">
        <v>328</v>
      </c>
    </row>
    <row r="996">
      <c r="A996" s="23">
        <v>45889.82774896991</v>
      </c>
      <c r="B996" s="3" t="s">
        <v>325</v>
      </c>
      <c r="C996" s="3" t="s">
        <v>581</v>
      </c>
      <c r="D996" s="3" t="s">
        <v>115</v>
      </c>
      <c r="E996" s="3" t="s">
        <v>328</v>
      </c>
    </row>
    <row r="997">
      <c r="A997" s="23">
        <v>45889.82775188657</v>
      </c>
      <c r="B997" s="3" t="s">
        <v>329</v>
      </c>
      <c r="C997" s="3" t="s">
        <v>582</v>
      </c>
      <c r="D997" s="3" t="s">
        <v>115</v>
      </c>
      <c r="E997" s="3" t="s">
        <v>328</v>
      </c>
    </row>
    <row r="998">
      <c r="A998" s="23">
        <v>45889.82775678241</v>
      </c>
      <c r="B998" s="3" t="s">
        <v>329</v>
      </c>
      <c r="C998" s="3" t="s">
        <v>583</v>
      </c>
      <c r="D998" s="3" t="s">
        <v>115</v>
      </c>
      <c r="E998" s="3" t="s">
        <v>328</v>
      </c>
    </row>
    <row r="999">
      <c r="A999" s="23">
        <v>45889.82775972222</v>
      </c>
      <c r="B999" s="3" t="s">
        <v>329</v>
      </c>
      <c r="C999" s="3" t="s">
        <v>584</v>
      </c>
      <c r="D999" s="3" t="s">
        <v>115</v>
      </c>
      <c r="E999" s="3" t="s">
        <v>328</v>
      </c>
    </row>
    <row r="1000">
      <c r="A1000" s="23">
        <v>45889.82776240741</v>
      </c>
      <c r="B1000" s="3" t="s">
        <v>325</v>
      </c>
      <c r="C1000" s="3" t="s">
        <v>585</v>
      </c>
      <c r="D1000" s="3" t="s">
        <v>115</v>
      </c>
      <c r="E1000" s="3" t="s">
        <v>328</v>
      </c>
    </row>
    <row r="1001">
      <c r="A1001" s="23">
        <v>45889.82776513889</v>
      </c>
      <c r="B1001" s="3" t="s">
        <v>325</v>
      </c>
      <c r="C1001" s="3" t="s">
        <v>586</v>
      </c>
      <c r="D1001" s="3" t="s">
        <v>115</v>
      </c>
      <c r="E1001" s="3" t="s">
        <v>328</v>
      </c>
    </row>
    <row r="1002">
      <c r="A1002" s="23">
        <v>45889.82776885417</v>
      </c>
      <c r="B1002" s="3" t="s">
        <v>329</v>
      </c>
      <c r="C1002" s="3" t="s">
        <v>587</v>
      </c>
      <c r="D1002" s="3" t="s">
        <v>115</v>
      </c>
      <c r="E1002" s="3" t="s">
        <v>328</v>
      </c>
    </row>
    <row r="1003">
      <c r="A1003" s="23">
        <v>45889.82777172454</v>
      </c>
      <c r="B1003" s="3" t="s">
        <v>329</v>
      </c>
      <c r="C1003" s="3" t="s">
        <v>574</v>
      </c>
      <c r="D1003" s="3" t="s">
        <v>115</v>
      </c>
      <c r="E1003" s="3" t="s">
        <v>328</v>
      </c>
    </row>
    <row r="1004">
      <c r="A1004" s="23">
        <v>45889.82783273148</v>
      </c>
      <c r="B1004" s="3" t="s">
        <v>329</v>
      </c>
      <c r="C1004" s="3" t="str">
        <f>== API Test Results ===</f>
        <v>#ERROR!</v>
      </c>
      <c r="D1004" s="3" t="s">
        <v>115</v>
      </c>
      <c r="E1004" s="3" t="s">
        <v>328</v>
      </c>
    </row>
    <row r="1005">
      <c r="A1005" s="23">
        <v>45889.82783550926</v>
      </c>
      <c r="B1005" s="3" t="s">
        <v>329</v>
      </c>
      <c r="C1005" s="3" t="s">
        <v>588</v>
      </c>
      <c r="D1005" s="3" t="s">
        <v>115</v>
      </c>
      <c r="E1005" s="3" t="s">
        <v>328</v>
      </c>
    </row>
    <row r="1006">
      <c r="A1006" s="23">
        <v>45889.82783851852</v>
      </c>
      <c r="B1006" s="3" t="s">
        <v>329</v>
      </c>
      <c r="C1006" s="3" t="s">
        <v>589</v>
      </c>
      <c r="D1006" s="3" t="s">
        <v>115</v>
      </c>
      <c r="E1006" s="3" t="s">
        <v>328</v>
      </c>
    </row>
    <row r="1007">
      <c r="A1007" s="23">
        <v>45889.84008372686</v>
      </c>
      <c r="B1007" s="3" t="s">
        <v>329</v>
      </c>
      <c r="C1007" s="3" t="s">
        <v>534</v>
      </c>
      <c r="D1007" s="3" t="s">
        <v>115</v>
      </c>
      <c r="E1007" s="3" t="s">
        <v>328</v>
      </c>
    </row>
    <row r="1008">
      <c r="A1008" s="23">
        <v>45889.84008825231</v>
      </c>
      <c r="B1008" s="3" t="s">
        <v>329</v>
      </c>
      <c r="C1008" s="3" t="s">
        <v>535</v>
      </c>
      <c r="D1008" s="3" t="s">
        <v>115</v>
      </c>
      <c r="E1008" s="3" t="s">
        <v>328</v>
      </c>
    </row>
    <row r="1009">
      <c r="A1009" s="23">
        <v>45889.8400912037</v>
      </c>
      <c r="B1009" s="3" t="s">
        <v>329</v>
      </c>
      <c r="C1009" s="3" t="s">
        <v>536</v>
      </c>
      <c r="D1009" s="3" t="s">
        <v>115</v>
      </c>
      <c r="E1009" s="3" t="s">
        <v>328</v>
      </c>
    </row>
    <row r="1010">
      <c r="A1010" s="23">
        <v>45889.84020013889</v>
      </c>
      <c r="B1010" s="3" t="s">
        <v>329</v>
      </c>
      <c r="C1010" s="3" t="s">
        <v>534</v>
      </c>
      <c r="D1010" s="3" t="s">
        <v>115</v>
      </c>
      <c r="E1010" s="3" t="s">
        <v>328</v>
      </c>
    </row>
    <row r="1011">
      <c r="A1011" s="23">
        <v>45889.840204305554</v>
      </c>
      <c r="B1011" s="3" t="s">
        <v>329</v>
      </c>
      <c r="C1011" s="3" t="s">
        <v>535</v>
      </c>
      <c r="D1011" s="3" t="s">
        <v>115</v>
      </c>
      <c r="E1011" s="3" t="s">
        <v>328</v>
      </c>
    </row>
    <row r="1012">
      <c r="A1012" s="23">
        <v>45889.840206678244</v>
      </c>
      <c r="B1012" s="3" t="s">
        <v>329</v>
      </c>
      <c r="C1012" s="3" t="s">
        <v>536</v>
      </c>
      <c r="D1012" s="3" t="s">
        <v>115</v>
      </c>
      <c r="E1012" s="3" t="s">
        <v>328</v>
      </c>
    </row>
    <row r="1013">
      <c r="A1013" s="23">
        <v>45889.85294067129</v>
      </c>
      <c r="B1013" s="3" t="s">
        <v>329</v>
      </c>
      <c r="C1013" s="3" t="s">
        <v>590</v>
      </c>
      <c r="D1013" s="3" t="s">
        <v>115</v>
      </c>
      <c r="E1013" s="3" t="s">
        <v>328</v>
      </c>
    </row>
    <row r="1014">
      <c r="A1014" s="23">
        <v>45889.8529774537</v>
      </c>
      <c r="B1014" s="3" t="s">
        <v>329</v>
      </c>
      <c r="C1014" s="3" t="s">
        <v>591</v>
      </c>
      <c r="D1014" s="3" t="s">
        <v>115</v>
      </c>
      <c r="E1014" s="3" t="s">
        <v>328</v>
      </c>
    </row>
    <row r="1015">
      <c r="A1015" s="23">
        <v>45889.85298768518</v>
      </c>
      <c r="B1015" s="3" t="s">
        <v>329</v>
      </c>
      <c r="C1015" s="3" t="s">
        <v>591</v>
      </c>
      <c r="D1015" s="3" t="s">
        <v>115</v>
      </c>
      <c r="E1015" s="3" t="s">
        <v>328</v>
      </c>
    </row>
    <row r="1016">
      <c r="A1016" s="23">
        <v>45889.85299649306</v>
      </c>
      <c r="B1016" s="3" t="s">
        <v>329</v>
      </c>
      <c r="C1016" s="3" t="s">
        <v>592</v>
      </c>
      <c r="D1016" s="3" t="s">
        <v>115</v>
      </c>
      <c r="E1016" s="3" t="s">
        <v>328</v>
      </c>
    </row>
    <row r="1017">
      <c r="A1017" s="23">
        <v>45889.85299876158</v>
      </c>
      <c r="B1017" s="3" t="s">
        <v>329</v>
      </c>
      <c r="C1017" s="3" t="s">
        <v>593</v>
      </c>
      <c r="D1017" s="3" t="s">
        <v>115</v>
      </c>
      <c r="E1017" s="3" t="s">
        <v>328</v>
      </c>
    </row>
    <row r="1018">
      <c r="A1018" s="23">
        <v>45889.862989733796</v>
      </c>
      <c r="B1018" s="3" t="s">
        <v>329</v>
      </c>
      <c r="C1018" s="3" t="s">
        <v>484</v>
      </c>
      <c r="D1018" s="3" t="s">
        <v>115</v>
      </c>
      <c r="E1018" s="3" t="s">
        <v>328</v>
      </c>
    </row>
    <row r="1019">
      <c r="A1019" s="23">
        <v>45889.86299255787</v>
      </c>
      <c r="B1019" s="3" t="s">
        <v>329</v>
      </c>
      <c r="C1019" s="3" t="s">
        <v>516</v>
      </c>
      <c r="D1019" s="3" t="s">
        <v>115</v>
      </c>
      <c r="E1019" s="3" t="s">
        <v>328</v>
      </c>
    </row>
    <row r="1020">
      <c r="A1020" s="23">
        <v>45889.86299706019</v>
      </c>
      <c r="B1020" s="3" t="s">
        <v>329</v>
      </c>
      <c r="C1020" s="3" t="s">
        <v>517</v>
      </c>
      <c r="D1020" s="3" t="s">
        <v>115</v>
      </c>
      <c r="E1020" s="3" t="s">
        <v>328</v>
      </c>
    </row>
    <row r="1021">
      <c r="A1021" s="23">
        <v>45889.86300679398</v>
      </c>
      <c r="B1021" s="3" t="s">
        <v>329</v>
      </c>
      <c r="C1021" s="3" t="s">
        <v>518</v>
      </c>
      <c r="D1021" s="3" t="s">
        <v>115</v>
      </c>
      <c r="E1021" s="3" t="s">
        <v>328</v>
      </c>
    </row>
    <row r="1022">
      <c r="A1022" s="23">
        <v>45889.86441521991</v>
      </c>
      <c r="B1022" s="3" t="s">
        <v>329</v>
      </c>
      <c r="C1022" s="3" t="str">
        <f>== Starting Full Finance Automation V10 ===</f>
        <v>#ERROR!</v>
      </c>
      <c r="D1022" s="3" t="s">
        <v>115</v>
      </c>
      <c r="E1022" s="3" t="s">
        <v>328</v>
      </c>
    </row>
    <row r="1023">
      <c r="A1023" s="23">
        <v>45889.864417766206</v>
      </c>
      <c r="B1023" s="3" t="s">
        <v>329</v>
      </c>
      <c r="C1023" s="3" t="s">
        <v>336</v>
      </c>
      <c r="D1023" s="3" t="s">
        <v>115</v>
      </c>
      <c r="E1023" s="3" t="s">
        <v>328</v>
      </c>
    </row>
    <row r="1024">
      <c r="A1024" s="23">
        <v>45889.8644277662</v>
      </c>
      <c r="B1024" s="3" t="s">
        <v>329</v>
      </c>
      <c r="C1024" s="3" t="s">
        <v>459</v>
      </c>
      <c r="D1024" s="3" t="s">
        <v>115</v>
      </c>
      <c r="E1024" s="3" t="s">
        <v>328</v>
      </c>
    </row>
    <row r="1025">
      <c r="A1025" s="23">
        <v>45889.86444097222</v>
      </c>
      <c r="B1025" s="3" t="s">
        <v>329</v>
      </c>
      <c r="C1025" s="3" t="s">
        <v>337</v>
      </c>
      <c r="D1025" s="3" t="s">
        <v>115</v>
      </c>
      <c r="E1025" s="3" t="s">
        <v>328</v>
      </c>
    </row>
    <row r="1026">
      <c r="A1026" s="23">
        <v>45889.86445009259</v>
      </c>
      <c r="B1026" s="3" t="s">
        <v>329</v>
      </c>
      <c r="C1026" s="3" t="s">
        <v>594</v>
      </c>
      <c r="D1026" s="3" t="s">
        <v>595</v>
      </c>
      <c r="E1026" s="3" t="s">
        <v>328</v>
      </c>
    </row>
    <row r="1027">
      <c r="A1027" s="23">
        <v>45889.864452696755</v>
      </c>
      <c r="B1027" s="3" t="s">
        <v>329</v>
      </c>
      <c r="C1027" s="3" t="s">
        <v>596</v>
      </c>
      <c r="D1027" s="3" t="s">
        <v>595</v>
      </c>
      <c r="E1027" s="3" t="s">
        <v>328</v>
      </c>
    </row>
    <row r="1028">
      <c r="A1028" s="23">
        <v>45889.86445630787</v>
      </c>
      <c r="B1028" s="3" t="s">
        <v>329</v>
      </c>
      <c r="C1028" s="3" t="s">
        <v>594</v>
      </c>
      <c r="D1028" s="3" t="s">
        <v>597</v>
      </c>
      <c r="E1028" s="3" t="s">
        <v>328</v>
      </c>
    </row>
    <row r="1029">
      <c r="A1029" s="23">
        <v>45889.864459282406</v>
      </c>
      <c r="B1029" s="3" t="s">
        <v>329</v>
      </c>
      <c r="C1029" s="3" t="s">
        <v>596</v>
      </c>
      <c r="D1029" s="3" t="s">
        <v>597</v>
      </c>
      <c r="E1029" s="3" t="s">
        <v>328</v>
      </c>
    </row>
    <row r="1030">
      <c r="A1030" s="23">
        <v>45889.864469583335</v>
      </c>
      <c r="B1030" s="3" t="s">
        <v>329</v>
      </c>
      <c r="C1030" s="3" t="s">
        <v>598</v>
      </c>
      <c r="D1030" s="3" t="s">
        <v>599</v>
      </c>
      <c r="E1030" s="3" t="s">
        <v>328</v>
      </c>
    </row>
    <row r="1031">
      <c r="A1031" s="23">
        <v>45889.86447204861</v>
      </c>
      <c r="B1031" s="3" t="s">
        <v>329</v>
      </c>
      <c r="C1031" s="3" t="s">
        <v>596</v>
      </c>
      <c r="D1031" s="3" t="s">
        <v>599</v>
      </c>
      <c r="E1031" s="3" t="s">
        <v>328</v>
      </c>
    </row>
    <row r="1032">
      <c r="A1032" s="23">
        <v>45889.86448908565</v>
      </c>
      <c r="B1032" s="3" t="s">
        <v>329</v>
      </c>
      <c r="C1032" s="3" t="s">
        <v>338</v>
      </c>
      <c r="D1032" s="3" t="s">
        <v>339</v>
      </c>
      <c r="E1032" s="3" t="s">
        <v>328</v>
      </c>
    </row>
    <row r="1033">
      <c r="A1033" s="23">
        <v>45889.864492002314</v>
      </c>
      <c r="B1033" s="3" t="s">
        <v>329</v>
      </c>
      <c r="C1033" s="3" t="s">
        <v>497</v>
      </c>
      <c r="D1033" s="3" t="s">
        <v>115</v>
      </c>
      <c r="E1033" s="3" t="s">
        <v>328</v>
      </c>
    </row>
    <row r="1034">
      <c r="A1034" s="23">
        <v>45889.86449572917</v>
      </c>
      <c r="B1034" s="3" t="s">
        <v>329</v>
      </c>
      <c r="C1034" s="3" t="s">
        <v>342</v>
      </c>
      <c r="D1034" s="3" t="s">
        <v>115</v>
      </c>
      <c r="E1034" s="3" t="s">
        <v>328</v>
      </c>
    </row>
    <row r="1035">
      <c r="A1035" s="23">
        <v>45889.8644981713</v>
      </c>
      <c r="B1035" s="3" t="s">
        <v>329</v>
      </c>
      <c r="C1035" s="3" t="s">
        <v>498</v>
      </c>
      <c r="D1035" s="3" t="s">
        <v>115</v>
      </c>
      <c r="E1035" s="3" t="s">
        <v>328</v>
      </c>
    </row>
    <row r="1036">
      <c r="A1036" s="23">
        <v>45889.86450152777</v>
      </c>
      <c r="B1036" s="3" t="s">
        <v>329</v>
      </c>
      <c r="C1036" s="3" t="s">
        <v>499</v>
      </c>
      <c r="D1036" s="3" t="s">
        <v>115</v>
      </c>
      <c r="E1036" s="3" t="s">
        <v>328</v>
      </c>
    </row>
    <row r="1037">
      <c r="A1037" s="23">
        <v>45889.86450949074</v>
      </c>
      <c r="B1037" s="3" t="s">
        <v>329</v>
      </c>
      <c r="C1037" s="3" t="s">
        <v>534</v>
      </c>
      <c r="D1037" s="3" t="s">
        <v>115</v>
      </c>
      <c r="E1037" s="3" t="s">
        <v>328</v>
      </c>
    </row>
    <row r="1038">
      <c r="A1038" s="23">
        <v>45889.864514305555</v>
      </c>
      <c r="B1038" s="3" t="s">
        <v>329</v>
      </c>
      <c r="C1038" s="3" t="s">
        <v>535</v>
      </c>
      <c r="D1038" s="3" t="s">
        <v>115</v>
      </c>
      <c r="E1038" s="3" t="s">
        <v>328</v>
      </c>
    </row>
    <row r="1039">
      <c r="A1039" s="23">
        <v>45889.8645244213</v>
      </c>
      <c r="B1039" s="3" t="s">
        <v>329</v>
      </c>
      <c r="C1039" s="3" t="s">
        <v>536</v>
      </c>
      <c r="D1039" s="3" t="s">
        <v>115</v>
      </c>
      <c r="E1039" s="3" t="s">
        <v>328</v>
      </c>
    </row>
    <row r="1040">
      <c r="A1040" s="23">
        <v>45889.86452700231</v>
      </c>
      <c r="B1040" s="3" t="s">
        <v>329</v>
      </c>
      <c r="C1040" s="3" t="s">
        <v>502</v>
      </c>
      <c r="D1040" s="3" t="s">
        <v>115</v>
      </c>
      <c r="E1040" s="3" t="s">
        <v>328</v>
      </c>
    </row>
    <row r="1041">
      <c r="A1041" s="23">
        <v>45889.864546979166</v>
      </c>
      <c r="B1041" s="3" t="s">
        <v>329</v>
      </c>
      <c r="C1041" s="3" t="s">
        <v>600</v>
      </c>
      <c r="D1041" s="3" t="s">
        <v>601</v>
      </c>
      <c r="E1041" s="3" t="s">
        <v>328</v>
      </c>
    </row>
    <row r="1042">
      <c r="A1042" s="23">
        <v>45889.86454940972</v>
      </c>
      <c r="B1042" s="3" t="s">
        <v>329</v>
      </c>
      <c r="C1042" s="3" t="str">
        <f>== Finance Automation V10 Complete ===</f>
        <v>#ERROR!</v>
      </c>
      <c r="D1042" s="3" t="s">
        <v>602</v>
      </c>
      <c r="E1042" s="3" t="s">
        <v>328</v>
      </c>
    </row>
    <row r="1043">
      <c r="A1043" s="23">
        <v>45889.86558157408</v>
      </c>
      <c r="B1043" s="3" t="s">
        <v>325</v>
      </c>
      <c r="C1043" s="3" t="s">
        <v>603</v>
      </c>
      <c r="D1043" s="3" t="s">
        <v>604</v>
      </c>
      <c r="E1043" s="3" t="s">
        <v>328</v>
      </c>
    </row>
    <row r="1044">
      <c r="A1044" s="23">
        <v>45889.87021407408</v>
      </c>
      <c r="B1044" s="3" t="s">
        <v>329</v>
      </c>
      <c r="C1044" s="3" t="s">
        <v>484</v>
      </c>
      <c r="D1044" s="3" t="s">
        <v>115</v>
      </c>
      <c r="E1044" s="3" t="s">
        <v>328</v>
      </c>
    </row>
    <row r="1045">
      <c r="A1045" s="23">
        <v>45889.87021606481</v>
      </c>
      <c r="B1045" s="3" t="s">
        <v>329</v>
      </c>
      <c r="C1045" s="3" t="s">
        <v>516</v>
      </c>
      <c r="D1045" s="3" t="s">
        <v>115</v>
      </c>
      <c r="E1045" s="3" t="s">
        <v>328</v>
      </c>
    </row>
    <row r="1046">
      <c r="A1046" s="23">
        <v>45889.870218819444</v>
      </c>
      <c r="B1046" s="3" t="s">
        <v>329</v>
      </c>
      <c r="C1046" s="3" t="s">
        <v>517</v>
      </c>
      <c r="D1046" s="3" t="s">
        <v>115</v>
      </c>
      <c r="E1046" s="3" t="s">
        <v>328</v>
      </c>
    </row>
    <row r="1047">
      <c r="A1047" s="23">
        <v>45889.87022131945</v>
      </c>
      <c r="B1047" s="3" t="s">
        <v>329</v>
      </c>
      <c r="C1047" s="3" t="s">
        <v>518</v>
      </c>
      <c r="D1047" s="3" t="s">
        <v>115</v>
      </c>
      <c r="E1047" s="3" t="s">
        <v>328</v>
      </c>
    </row>
    <row r="1048">
      <c r="A1048" s="23">
        <v>45889.87088498843</v>
      </c>
      <c r="B1048" s="3" t="s">
        <v>329</v>
      </c>
      <c r="C1048" s="3" t="s">
        <v>598</v>
      </c>
      <c r="D1048" s="3" t="s">
        <v>605</v>
      </c>
      <c r="E1048" s="3" t="s">
        <v>328</v>
      </c>
    </row>
    <row r="1049">
      <c r="A1049" s="23">
        <v>45889.87088715278</v>
      </c>
      <c r="B1049" s="3" t="s">
        <v>325</v>
      </c>
      <c r="C1049" s="3" t="s">
        <v>603</v>
      </c>
      <c r="D1049" s="3" t="s">
        <v>606</v>
      </c>
      <c r="E1049" s="3" t="s">
        <v>328</v>
      </c>
    </row>
    <row r="1050">
      <c r="A1050" s="23">
        <v>45889.87167400463</v>
      </c>
      <c r="B1050" s="3" t="s">
        <v>329</v>
      </c>
      <c r="C1050" s="3" t="s">
        <v>598</v>
      </c>
      <c r="D1050" s="3" t="s">
        <v>605</v>
      </c>
      <c r="E1050" s="3" t="s">
        <v>328</v>
      </c>
    </row>
    <row r="1051">
      <c r="A1051" s="23">
        <v>45889.8716765162</v>
      </c>
      <c r="B1051" s="3" t="s">
        <v>325</v>
      </c>
      <c r="C1051" s="3" t="s">
        <v>603</v>
      </c>
      <c r="D1051" s="3" t="s">
        <v>606</v>
      </c>
      <c r="E1051" s="3" t="s">
        <v>328</v>
      </c>
    </row>
    <row r="1052">
      <c r="A1052" s="23">
        <v>45889.87318042824</v>
      </c>
      <c r="B1052" s="3" t="s">
        <v>329</v>
      </c>
      <c r="C1052" s="3" t="s">
        <v>598</v>
      </c>
      <c r="D1052" s="3" t="s">
        <v>605</v>
      </c>
      <c r="E1052" s="3" t="s">
        <v>328</v>
      </c>
    </row>
    <row r="1053">
      <c r="A1053" s="23">
        <v>45889.876686724536</v>
      </c>
      <c r="B1053" s="3" t="s">
        <v>329</v>
      </c>
      <c r="C1053" s="3" t="str">
        <f>== Starting Full Finance Automation V10 ===</f>
        <v>#ERROR!</v>
      </c>
      <c r="D1053" s="3" t="s">
        <v>115</v>
      </c>
      <c r="E1053" s="3" t="s">
        <v>328</v>
      </c>
    </row>
    <row r="1054">
      <c r="A1054" s="23">
        <v>45889.87668987269</v>
      </c>
      <c r="B1054" s="3" t="s">
        <v>329</v>
      </c>
      <c r="C1054" s="3" t="s">
        <v>336</v>
      </c>
      <c r="D1054" s="3" t="s">
        <v>115</v>
      </c>
      <c r="E1054" s="3" t="s">
        <v>328</v>
      </c>
    </row>
    <row r="1055">
      <c r="A1055" s="23">
        <v>45889.87670091435</v>
      </c>
      <c r="B1055" s="3" t="s">
        <v>329</v>
      </c>
      <c r="C1055" s="3" t="s">
        <v>459</v>
      </c>
      <c r="D1055" s="3" t="s">
        <v>115</v>
      </c>
      <c r="E1055" s="3" t="s">
        <v>328</v>
      </c>
    </row>
    <row r="1056">
      <c r="A1056" s="23">
        <v>45889.876709131946</v>
      </c>
      <c r="B1056" s="3" t="s">
        <v>329</v>
      </c>
      <c r="C1056" s="3" t="s">
        <v>607</v>
      </c>
      <c r="D1056" s="3" t="s">
        <v>115</v>
      </c>
      <c r="E1056" s="3" t="s">
        <v>328</v>
      </c>
    </row>
    <row r="1057">
      <c r="A1057" s="23">
        <v>45889.87671466435</v>
      </c>
      <c r="B1057" s="3" t="s">
        <v>329</v>
      </c>
      <c r="C1057" s="3" t="s">
        <v>608</v>
      </c>
      <c r="D1057" s="3" t="s">
        <v>609</v>
      </c>
      <c r="E1057" s="3" t="s">
        <v>328</v>
      </c>
    </row>
    <row r="1058">
      <c r="A1058" s="23">
        <v>45889.876716956016</v>
      </c>
      <c r="B1058" s="3" t="s">
        <v>465</v>
      </c>
      <c r="C1058" s="3" t="s">
        <v>610</v>
      </c>
      <c r="D1058" s="3" t="s">
        <v>611</v>
      </c>
      <c r="E1058" s="3" t="s">
        <v>328</v>
      </c>
    </row>
    <row r="1059">
      <c r="A1059" s="23">
        <v>45889.87672475695</v>
      </c>
      <c r="B1059" s="3" t="s">
        <v>325</v>
      </c>
      <c r="C1059" s="3" t="s">
        <v>612</v>
      </c>
      <c r="D1059" s="3" t="s">
        <v>613</v>
      </c>
      <c r="E1059" s="3" t="s">
        <v>328</v>
      </c>
    </row>
    <row r="1060">
      <c r="A1060" s="23">
        <v>45889.87673853009</v>
      </c>
      <c r="B1060" s="3" t="s">
        <v>329</v>
      </c>
      <c r="C1060" s="3" t="s">
        <v>594</v>
      </c>
      <c r="D1060" s="3" t="s">
        <v>595</v>
      </c>
      <c r="E1060" s="3" t="s">
        <v>328</v>
      </c>
    </row>
    <row r="1061">
      <c r="A1061" s="23">
        <v>45889.876741203705</v>
      </c>
      <c r="B1061" s="3" t="s">
        <v>329</v>
      </c>
      <c r="C1061" s="3" t="s">
        <v>596</v>
      </c>
      <c r="D1061" s="3" t="s">
        <v>595</v>
      </c>
      <c r="E1061" s="3" t="s">
        <v>328</v>
      </c>
    </row>
    <row r="1062">
      <c r="A1062" s="23">
        <v>45889.87674649306</v>
      </c>
      <c r="B1062" s="3" t="s">
        <v>329</v>
      </c>
      <c r="C1062" s="3" t="s">
        <v>594</v>
      </c>
      <c r="D1062" s="3" t="s">
        <v>597</v>
      </c>
      <c r="E1062" s="3" t="s">
        <v>328</v>
      </c>
    </row>
    <row r="1063">
      <c r="A1063" s="23">
        <v>45889.8767490625</v>
      </c>
      <c r="B1063" s="3" t="s">
        <v>329</v>
      </c>
      <c r="C1063" s="3" t="s">
        <v>596</v>
      </c>
      <c r="D1063" s="3" t="s">
        <v>597</v>
      </c>
      <c r="E1063" s="3" t="s">
        <v>328</v>
      </c>
    </row>
    <row r="1064">
      <c r="A1064" s="23">
        <v>45889.876765891204</v>
      </c>
      <c r="B1064" s="3" t="s">
        <v>329</v>
      </c>
      <c r="C1064" s="3" t="s">
        <v>598</v>
      </c>
      <c r="D1064" s="3" t="s">
        <v>599</v>
      </c>
      <c r="E1064" s="3" t="s">
        <v>328</v>
      </c>
    </row>
    <row r="1065">
      <c r="A1065" s="23">
        <v>45889.87676846064</v>
      </c>
      <c r="B1065" s="3" t="s">
        <v>329</v>
      </c>
      <c r="C1065" s="3" t="s">
        <v>596</v>
      </c>
      <c r="D1065" s="3" t="s">
        <v>599</v>
      </c>
      <c r="E1065" s="3" t="s">
        <v>328</v>
      </c>
    </row>
    <row r="1066">
      <c r="A1066" s="23">
        <v>45889.87677918981</v>
      </c>
      <c r="B1066" s="3" t="s">
        <v>329</v>
      </c>
      <c r="C1066" s="3" t="s">
        <v>338</v>
      </c>
      <c r="D1066" s="3" t="s">
        <v>339</v>
      </c>
      <c r="E1066" s="3" t="s">
        <v>328</v>
      </c>
    </row>
    <row r="1067">
      <c r="A1067" s="23">
        <v>45889.87678158565</v>
      </c>
      <c r="B1067" s="3" t="s">
        <v>329</v>
      </c>
      <c r="C1067" s="3" t="s">
        <v>497</v>
      </c>
      <c r="D1067" s="3" t="s">
        <v>115</v>
      </c>
      <c r="E1067" s="3" t="s">
        <v>328</v>
      </c>
    </row>
    <row r="1068">
      <c r="A1068" s="23">
        <v>45889.87678486111</v>
      </c>
      <c r="B1068" s="3" t="s">
        <v>329</v>
      </c>
      <c r="C1068" s="3" t="s">
        <v>342</v>
      </c>
      <c r="D1068" s="3" t="s">
        <v>115</v>
      </c>
      <c r="E1068" s="3" t="s">
        <v>328</v>
      </c>
    </row>
    <row r="1069">
      <c r="A1069" s="23">
        <v>45889.876787581015</v>
      </c>
      <c r="B1069" s="3" t="s">
        <v>329</v>
      </c>
      <c r="C1069" s="3" t="s">
        <v>498</v>
      </c>
      <c r="D1069" s="3" t="s">
        <v>115</v>
      </c>
      <c r="E1069" s="3" t="s">
        <v>328</v>
      </c>
    </row>
    <row r="1070">
      <c r="A1070" s="23">
        <v>45889.87679098379</v>
      </c>
      <c r="B1070" s="3" t="s">
        <v>329</v>
      </c>
      <c r="C1070" s="3" t="s">
        <v>499</v>
      </c>
      <c r="D1070" s="3" t="s">
        <v>115</v>
      </c>
      <c r="E1070" s="3" t="s">
        <v>328</v>
      </c>
    </row>
    <row r="1071">
      <c r="A1071" s="23">
        <v>45889.87680013889</v>
      </c>
      <c r="B1071" s="3" t="s">
        <v>329</v>
      </c>
      <c r="C1071" s="3" t="s">
        <v>534</v>
      </c>
      <c r="D1071" s="3" t="s">
        <v>115</v>
      </c>
      <c r="E1071" s="3" t="s">
        <v>328</v>
      </c>
    </row>
    <row r="1072">
      <c r="A1072" s="23">
        <v>45889.87680643519</v>
      </c>
      <c r="B1072" s="3" t="s">
        <v>329</v>
      </c>
      <c r="C1072" s="3" t="s">
        <v>535</v>
      </c>
      <c r="D1072" s="3" t="s">
        <v>115</v>
      </c>
      <c r="E1072" s="3" t="s">
        <v>328</v>
      </c>
    </row>
    <row r="1073">
      <c r="A1073" s="23">
        <v>45889.8768090625</v>
      </c>
      <c r="B1073" s="3" t="s">
        <v>329</v>
      </c>
      <c r="C1073" s="3" t="s">
        <v>536</v>
      </c>
      <c r="D1073" s="3" t="s">
        <v>115</v>
      </c>
      <c r="E1073" s="3" t="s">
        <v>328</v>
      </c>
    </row>
    <row r="1074">
      <c r="A1074" s="23">
        <v>45889.8768115625</v>
      </c>
      <c r="B1074" s="3" t="s">
        <v>329</v>
      </c>
      <c r="C1074" s="3" t="s">
        <v>502</v>
      </c>
      <c r="D1074" s="3" t="s">
        <v>115</v>
      </c>
      <c r="E1074" s="3" t="s">
        <v>328</v>
      </c>
    </row>
    <row r="1075">
      <c r="A1075" s="23">
        <v>45889.876837337964</v>
      </c>
      <c r="B1075" s="3" t="s">
        <v>329</v>
      </c>
      <c r="C1075" s="3" t="s">
        <v>600</v>
      </c>
      <c r="D1075" s="3" t="s">
        <v>601</v>
      </c>
      <c r="E1075" s="3" t="s">
        <v>328</v>
      </c>
    </row>
    <row r="1076">
      <c r="A1076" s="23">
        <v>45889.876839942124</v>
      </c>
      <c r="B1076" s="3" t="s">
        <v>329</v>
      </c>
      <c r="C1076" s="3" t="str">
        <f>== Finance Automation V10 Complete ===</f>
        <v>#ERROR!</v>
      </c>
      <c r="D1076" s="3" t="s">
        <v>614</v>
      </c>
      <c r="E1076" s="3" t="s">
        <v>328</v>
      </c>
    </row>
    <row r="1077">
      <c r="A1077" s="23">
        <v>45889.8810975</v>
      </c>
      <c r="B1077" s="3" t="s">
        <v>329</v>
      </c>
      <c r="C1077" s="3" t="str">
        <f>== Starting Full Finance Automation V10 ===</f>
        <v>#ERROR!</v>
      </c>
      <c r="D1077" s="3" t="s">
        <v>115</v>
      </c>
      <c r="E1077" s="3" t="s">
        <v>328</v>
      </c>
    </row>
    <row r="1078">
      <c r="A1078" s="23">
        <v>45889.88109983796</v>
      </c>
      <c r="B1078" s="3" t="s">
        <v>329</v>
      </c>
      <c r="C1078" s="3" t="s">
        <v>336</v>
      </c>
      <c r="D1078" s="3" t="s">
        <v>115</v>
      </c>
      <c r="E1078" s="3" t="s">
        <v>328</v>
      </c>
    </row>
    <row r="1079">
      <c r="A1079" s="23">
        <v>45889.88111716435</v>
      </c>
      <c r="B1079" s="3" t="s">
        <v>329</v>
      </c>
      <c r="C1079" s="3" t="s">
        <v>459</v>
      </c>
      <c r="D1079" s="3" t="s">
        <v>115</v>
      </c>
      <c r="E1079" s="3" t="s">
        <v>328</v>
      </c>
    </row>
    <row r="1080">
      <c r="A1080" s="23">
        <v>45889.88112501157</v>
      </c>
      <c r="B1080" s="3" t="s">
        <v>329</v>
      </c>
      <c r="C1080" s="3" t="s">
        <v>607</v>
      </c>
      <c r="D1080" s="3" t="s">
        <v>115</v>
      </c>
      <c r="E1080" s="3" t="s">
        <v>328</v>
      </c>
    </row>
    <row r="1081">
      <c r="A1081" s="23">
        <v>45889.88113454861</v>
      </c>
      <c r="B1081" s="3" t="s">
        <v>329</v>
      </c>
      <c r="C1081" s="3" t="s">
        <v>615</v>
      </c>
      <c r="D1081" s="3" t="s">
        <v>609</v>
      </c>
      <c r="E1081" s="3" t="s">
        <v>328</v>
      </c>
    </row>
    <row r="1082">
      <c r="A1082" s="23">
        <v>45889.88113645834</v>
      </c>
      <c r="B1082" s="3" t="s">
        <v>325</v>
      </c>
      <c r="C1082" s="3" t="s">
        <v>612</v>
      </c>
      <c r="D1082" s="3" t="s">
        <v>616</v>
      </c>
      <c r="E1082" s="3" t="s">
        <v>328</v>
      </c>
    </row>
    <row r="1083">
      <c r="A1083" s="23">
        <v>45889.88114858796</v>
      </c>
      <c r="B1083" s="3" t="s">
        <v>329</v>
      </c>
      <c r="C1083" s="3" t="s">
        <v>594</v>
      </c>
      <c r="D1083" s="3" t="s">
        <v>595</v>
      </c>
      <c r="E1083" s="3" t="s">
        <v>328</v>
      </c>
    </row>
    <row r="1084">
      <c r="A1084" s="23">
        <v>45889.88115072917</v>
      </c>
      <c r="B1084" s="3" t="s">
        <v>329</v>
      </c>
      <c r="C1084" s="3" t="s">
        <v>596</v>
      </c>
      <c r="D1084" s="3" t="s">
        <v>595</v>
      </c>
      <c r="E1084" s="3" t="s">
        <v>328</v>
      </c>
    </row>
    <row r="1085">
      <c r="A1085" s="23">
        <v>45889.88115990741</v>
      </c>
      <c r="B1085" s="3" t="s">
        <v>329</v>
      </c>
      <c r="C1085" s="3" t="s">
        <v>594</v>
      </c>
      <c r="D1085" s="3" t="s">
        <v>597</v>
      </c>
      <c r="E1085" s="3" t="s">
        <v>328</v>
      </c>
    </row>
    <row r="1086">
      <c r="A1086" s="23">
        <v>45889.881162210644</v>
      </c>
      <c r="B1086" s="3" t="s">
        <v>329</v>
      </c>
      <c r="C1086" s="3" t="s">
        <v>596</v>
      </c>
      <c r="D1086" s="3" t="s">
        <v>597</v>
      </c>
      <c r="E1086" s="3" t="s">
        <v>328</v>
      </c>
    </row>
    <row r="1087">
      <c r="A1087" s="23">
        <v>45889.88117280093</v>
      </c>
      <c r="B1087" s="3" t="s">
        <v>329</v>
      </c>
      <c r="C1087" s="3" t="s">
        <v>598</v>
      </c>
      <c r="D1087" s="3" t="s">
        <v>599</v>
      </c>
      <c r="E1087" s="3" t="s">
        <v>328</v>
      </c>
    </row>
    <row r="1088">
      <c r="A1088" s="23">
        <v>45889.88117965277</v>
      </c>
      <c r="B1088" s="3" t="s">
        <v>329</v>
      </c>
      <c r="C1088" s="3" t="s">
        <v>596</v>
      </c>
      <c r="D1088" s="3" t="s">
        <v>599</v>
      </c>
      <c r="E1088" s="3" t="s">
        <v>328</v>
      </c>
    </row>
    <row r="1089">
      <c r="A1089" s="23">
        <v>45889.88118815972</v>
      </c>
      <c r="B1089" s="3" t="s">
        <v>329</v>
      </c>
      <c r="C1089" s="3" t="s">
        <v>338</v>
      </c>
      <c r="D1089" s="3" t="s">
        <v>339</v>
      </c>
      <c r="E1089" s="3" t="s">
        <v>328</v>
      </c>
    </row>
    <row r="1090">
      <c r="A1090" s="23">
        <v>45889.88119028935</v>
      </c>
      <c r="B1090" s="3" t="s">
        <v>329</v>
      </c>
      <c r="C1090" s="3" t="s">
        <v>497</v>
      </c>
      <c r="D1090" s="3" t="s">
        <v>115</v>
      </c>
      <c r="E1090" s="3" t="s">
        <v>328</v>
      </c>
    </row>
    <row r="1091">
      <c r="A1091" s="23">
        <v>45889.88119353009</v>
      </c>
      <c r="B1091" s="3" t="s">
        <v>329</v>
      </c>
      <c r="C1091" s="3" t="s">
        <v>342</v>
      </c>
      <c r="D1091" s="3" t="s">
        <v>115</v>
      </c>
      <c r="E1091" s="3" t="s">
        <v>328</v>
      </c>
    </row>
    <row r="1092">
      <c r="A1092" s="23">
        <v>45889.88119565972</v>
      </c>
      <c r="B1092" s="3" t="s">
        <v>329</v>
      </c>
      <c r="C1092" s="3" t="s">
        <v>498</v>
      </c>
      <c r="D1092" s="3" t="s">
        <v>115</v>
      </c>
      <c r="E1092" s="3" t="s">
        <v>328</v>
      </c>
    </row>
    <row r="1093">
      <c r="A1093" s="23">
        <v>45889.88119856481</v>
      </c>
      <c r="B1093" s="3" t="s">
        <v>329</v>
      </c>
      <c r="C1093" s="3" t="s">
        <v>499</v>
      </c>
      <c r="D1093" s="3" t="s">
        <v>115</v>
      </c>
      <c r="E1093" s="3" t="s">
        <v>328</v>
      </c>
    </row>
    <row r="1094">
      <c r="A1094" s="23">
        <v>45889.88120986111</v>
      </c>
      <c r="B1094" s="3" t="s">
        <v>329</v>
      </c>
      <c r="C1094" s="3" t="s">
        <v>534</v>
      </c>
      <c r="D1094" s="3" t="s">
        <v>115</v>
      </c>
      <c r="E1094" s="3" t="s">
        <v>328</v>
      </c>
    </row>
    <row r="1095">
      <c r="A1095" s="23">
        <v>45889.88121435185</v>
      </c>
      <c r="B1095" s="3" t="s">
        <v>329</v>
      </c>
      <c r="C1095" s="3" t="s">
        <v>535</v>
      </c>
      <c r="D1095" s="3" t="s">
        <v>115</v>
      </c>
      <c r="E1095" s="3" t="s">
        <v>328</v>
      </c>
    </row>
    <row r="1096">
      <c r="A1096" s="23">
        <v>45889.88121633102</v>
      </c>
      <c r="B1096" s="3" t="s">
        <v>329</v>
      </c>
      <c r="C1096" s="3" t="s">
        <v>536</v>
      </c>
      <c r="D1096" s="3" t="s">
        <v>115</v>
      </c>
      <c r="E1096" s="3" t="s">
        <v>328</v>
      </c>
    </row>
    <row r="1097">
      <c r="A1097" s="23">
        <v>45889.88121907407</v>
      </c>
      <c r="B1097" s="3" t="s">
        <v>329</v>
      </c>
      <c r="C1097" s="3" t="s">
        <v>502</v>
      </c>
      <c r="D1097" s="3" t="s">
        <v>115</v>
      </c>
      <c r="E1097" s="3" t="s">
        <v>328</v>
      </c>
    </row>
    <row r="1098">
      <c r="A1098" s="23">
        <v>45889.88125107639</v>
      </c>
      <c r="B1098" s="3" t="s">
        <v>329</v>
      </c>
      <c r="C1098" s="3" t="s">
        <v>600</v>
      </c>
      <c r="D1098" s="3" t="s">
        <v>601</v>
      </c>
      <c r="E1098" s="3" t="s">
        <v>328</v>
      </c>
    </row>
    <row r="1099">
      <c r="A1099" s="23">
        <v>45889.88126430556</v>
      </c>
      <c r="B1099" s="3" t="s">
        <v>329</v>
      </c>
      <c r="C1099" s="3" t="str">
        <f>== Finance Automation V10 Complete ===</f>
        <v>#ERROR!</v>
      </c>
      <c r="D1099" s="3" t="s">
        <v>617</v>
      </c>
      <c r="E1099" s="3" t="s">
        <v>328</v>
      </c>
    </row>
    <row r="1100">
      <c r="A1100" s="23">
        <v>45889.88169030093</v>
      </c>
      <c r="B1100" s="3" t="s">
        <v>329</v>
      </c>
      <c r="C1100" s="3" t="str">
        <f>== DIAGNOSTIC CATEGORY LEARNING ANALYSIS ===</f>
        <v>#ERROR!</v>
      </c>
      <c r="D1100" s="3" t="s">
        <v>115</v>
      </c>
      <c r="E1100" s="3" t="s">
        <v>328</v>
      </c>
    </row>
    <row r="1101">
      <c r="A1101" s="23">
        <v>45889.88169393518</v>
      </c>
      <c r="B1101" s="3" t="s">
        <v>329</v>
      </c>
      <c r="C1101" s="3" t="s">
        <v>618</v>
      </c>
      <c r="D1101" s="3" t="s">
        <v>115</v>
      </c>
      <c r="E1101" s="3" t="s">
        <v>328</v>
      </c>
    </row>
    <row r="1102">
      <c r="A1102" s="23">
        <v>45889.88170569444</v>
      </c>
      <c r="B1102" s="3" t="s">
        <v>329</v>
      </c>
      <c r="C1102" s="3" t="s">
        <v>619</v>
      </c>
      <c r="D1102" s="3" t="s">
        <v>115</v>
      </c>
      <c r="E1102" s="3" t="s">
        <v>328</v>
      </c>
    </row>
    <row r="1103">
      <c r="A1103" s="23">
        <v>45889.881707939814</v>
      </c>
      <c r="B1103" s="3" t="s">
        <v>329</v>
      </c>
      <c r="C1103" s="3" t="str">
        <f>== CATEGORY LEARNING DIAGNOSTIC REPORT ===
📊 TRANSACTION OVERVIEW:
• Total Transactions: 18
• Categorized: 7 (38.9%)
• Uncategorized: 11 (61.1%)
🏪 MERCHANT ANALYSIS:
• Unique Merchants Found: 6
• Existing Category Mappings: 0
• Potential New Mappings: 0
• Low Frequency Merchants (1 transaction): 6
📂 CURRENT CATEGORY DISTRIBUTION:
• investment: 2 transactions
• Alcohol: 2 transactions
• Dining: 1 transactions
• Drug Store: 1 transactions
• Internal Transfer: 1 transactions
💡 RECOMMENDATIONS:
• You have 11 uncategorized transactions that could benefit from learning
• 6 merchants appear only once - need more transactions to learn patterns
• Consider processing more email transactions to improve learning accuracy</f>
        <v>#ERROR!</v>
      </c>
      <c r="D1103" s="3" t="s">
        <v>115</v>
      </c>
      <c r="E1103" s="3" t="s">
        <v>328</v>
      </c>
    </row>
    <row r="1104">
      <c r="A1104" s="23">
        <v>45889.882258020836</v>
      </c>
      <c r="B1104" s="3" t="s">
        <v>329</v>
      </c>
      <c r="C1104" s="3" t="str">
        <f>== Starting Full Finance Automation V10 ===</f>
        <v>#ERROR!</v>
      </c>
      <c r="D1104" s="3" t="s">
        <v>115</v>
      </c>
      <c r="E1104" s="3" t="s">
        <v>328</v>
      </c>
    </row>
    <row r="1105">
      <c r="A1105" s="23">
        <v>45889.88226048611</v>
      </c>
      <c r="B1105" s="3" t="s">
        <v>329</v>
      </c>
      <c r="C1105" s="3" t="s">
        <v>336</v>
      </c>
      <c r="D1105" s="3" t="s">
        <v>115</v>
      </c>
      <c r="E1105" s="3" t="s">
        <v>328</v>
      </c>
    </row>
    <row r="1106">
      <c r="A1106" s="23">
        <v>45889.88228358796</v>
      </c>
      <c r="B1106" s="3" t="s">
        <v>329</v>
      </c>
      <c r="C1106" s="3" t="s">
        <v>459</v>
      </c>
      <c r="D1106" s="3" t="s">
        <v>115</v>
      </c>
      <c r="E1106" s="3" t="s">
        <v>328</v>
      </c>
    </row>
    <row r="1107">
      <c r="A1107" s="23">
        <v>45889.8822920949</v>
      </c>
      <c r="B1107" s="3" t="s">
        <v>329</v>
      </c>
      <c r="C1107" s="3" t="s">
        <v>607</v>
      </c>
      <c r="D1107" s="3" t="s">
        <v>115</v>
      </c>
      <c r="E1107" s="3" t="s">
        <v>328</v>
      </c>
    </row>
    <row r="1108">
      <c r="A1108" s="23">
        <v>45889.88229638889</v>
      </c>
      <c r="B1108" s="3" t="s">
        <v>329</v>
      </c>
      <c r="C1108" s="3" t="s">
        <v>615</v>
      </c>
      <c r="D1108" s="3" t="s">
        <v>609</v>
      </c>
      <c r="E1108" s="3" t="s">
        <v>328</v>
      </c>
    </row>
    <row r="1109">
      <c r="A1109" s="23">
        <v>45889.882298854165</v>
      </c>
      <c r="B1109" s="3" t="s">
        <v>325</v>
      </c>
      <c r="C1109" s="3" t="s">
        <v>612</v>
      </c>
      <c r="D1109" s="3" t="s">
        <v>616</v>
      </c>
      <c r="E1109" s="3" t="s">
        <v>328</v>
      </c>
    </row>
    <row r="1110">
      <c r="A1110" s="23">
        <v>45889.88230271991</v>
      </c>
      <c r="B1110" s="3" t="s">
        <v>329</v>
      </c>
      <c r="C1110" s="3" t="s">
        <v>598</v>
      </c>
      <c r="D1110" s="3" t="s">
        <v>605</v>
      </c>
      <c r="E1110" s="3" t="s">
        <v>328</v>
      </c>
    </row>
    <row r="1111">
      <c r="A1111" s="23">
        <v>45889.88231825232</v>
      </c>
      <c r="B1111" s="3" t="s">
        <v>329</v>
      </c>
      <c r="C1111" s="3" t="s">
        <v>620</v>
      </c>
      <c r="D1111" s="3" t="s">
        <v>115</v>
      </c>
      <c r="E1111" s="3" t="s">
        <v>328</v>
      </c>
    </row>
    <row r="1112">
      <c r="A1112" s="23">
        <v>45889.88232186342</v>
      </c>
      <c r="B1112" s="3" t="s">
        <v>329</v>
      </c>
      <c r="C1112" s="3" t="s">
        <v>438</v>
      </c>
      <c r="D1112" s="3" t="s">
        <v>621</v>
      </c>
      <c r="E1112" s="3" t="s">
        <v>328</v>
      </c>
    </row>
    <row r="1113">
      <c r="A1113" s="23">
        <v>45889.88232443287</v>
      </c>
      <c r="B1113" s="3" t="s">
        <v>329</v>
      </c>
      <c r="C1113" s="3" t="s">
        <v>622</v>
      </c>
      <c r="D1113" s="3" t="s">
        <v>623</v>
      </c>
      <c r="E1113" s="3" t="s">
        <v>328</v>
      </c>
    </row>
    <row r="1114">
      <c r="A1114" s="23">
        <v>45889.88235230324</v>
      </c>
      <c r="B1114" s="3" t="s">
        <v>329</v>
      </c>
      <c r="C1114" s="3" t="s">
        <v>594</v>
      </c>
      <c r="D1114" s="3" t="s">
        <v>595</v>
      </c>
      <c r="E1114" s="3" t="s">
        <v>328</v>
      </c>
    </row>
    <row r="1115">
      <c r="A1115" s="23">
        <v>45889.88235490741</v>
      </c>
      <c r="B1115" s="3" t="s">
        <v>329</v>
      </c>
      <c r="C1115" s="3" t="s">
        <v>596</v>
      </c>
      <c r="D1115" s="3" t="s">
        <v>595</v>
      </c>
      <c r="E1115" s="3" t="s">
        <v>328</v>
      </c>
    </row>
    <row r="1116">
      <c r="A1116" s="23">
        <v>45889.88235876158</v>
      </c>
      <c r="B1116" s="3" t="s">
        <v>329</v>
      </c>
      <c r="C1116" s="3" t="s">
        <v>594</v>
      </c>
      <c r="D1116" s="3" t="s">
        <v>597</v>
      </c>
      <c r="E1116" s="3" t="s">
        <v>328</v>
      </c>
    </row>
    <row r="1117">
      <c r="A1117" s="23">
        <v>45889.88236138889</v>
      </c>
      <c r="B1117" s="3" t="s">
        <v>329</v>
      </c>
      <c r="C1117" s="3" t="s">
        <v>596</v>
      </c>
      <c r="D1117" s="3" t="s">
        <v>597</v>
      </c>
      <c r="E1117" s="3" t="s">
        <v>328</v>
      </c>
    </row>
    <row r="1118">
      <c r="A1118" s="23">
        <v>45889.88236699074</v>
      </c>
      <c r="B1118" s="3" t="s">
        <v>329</v>
      </c>
      <c r="C1118" s="3" t="s">
        <v>598</v>
      </c>
      <c r="D1118" s="3" t="s">
        <v>599</v>
      </c>
      <c r="E1118" s="3" t="s">
        <v>328</v>
      </c>
    </row>
    <row r="1119">
      <c r="A1119" s="23">
        <v>45889.88236989583</v>
      </c>
      <c r="B1119" s="3" t="s">
        <v>329</v>
      </c>
      <c r="C1119" s="3" t="s">
        <v>596</v>
      </c>
      <c r="D1119" s="3" t="s">
        <v>599</v>
      </c>
      <c r="E1119" s="3" t="s">
        <v>328</v>
      </c>
    </row>
    <row r="1120">
      <c r="A1120" s="23">
        <v>45889.88237717593</v>
      </c>
      <c r="B1120" s="3" t="s">
        <v>329</v>
      </c>
      <c r="C1120" s="3" t="s">
        <v>338</v>
      </c>
      <c r="D1120" s="3" t="s">
        <v>442</v>
      </c>
      <c r="E1120" s="3" t="s">
        <v>328</v>
      </c>
    </row>
    <row r="1121">
      <c r="A1121" s="23">
        <v>45889.88237982639</v>
      </c>
      <c r="B1121" s="3" t="s">
        <v>329</v>
      </c>
      <c r="C1121" s="3" t="s">
        <v>497</v>
      </c>
      <c r="D1121" s="3" t="s">
        <v>115</v>
      </c>
      <c r="E1121" s="3" t="s">
        <v>328</v>
      </c>
    </row>
    <row r="1122">
      <c r="A1122" s="23">
        <v>45889.88238335648</v>
      </c>
      <c r="B1122" s="3" t="s">
        <v>329</v>
      </c>
      <c r="C1122" s="3" t="s">
        <v>342</v>
      </c>
      <c r="D1122" s="3" t="s">
        <v>115</v>
      </c>
      <c r="E1122" s="3" t="s">
        <v>328</v>
      </c>
    </row>
    <row r="1123">
      <c r="A1123" s="23">
        <v>45889.88238621528</v>
      </c>
      <c r="B1123" s="3" t="s">
        <v>329</v>
      </c>
      <c r="C1123" s="3" t="s">
        <v>498</v>
      </c>
      <c r="D1123" s="3" t="s">
        <v>115</v>
      </c>
      <c r="E1123" s="3" t="s">
        <v>328</v>
      </c>
    </row>
    <row r="1124">
      <c r="A1124" s="23">
        <v>45889.88238978009</v>
      </c>
      <c r="B1124" s="3" t="s">
        <v>329</v>
      </c>
      <c r="C1124" s="3" t="s">
        <v>499</v>
      </c>
      <c r="D1124" s="3" t="s">
        <v>115</v>
      </c>
      <c r="E1124" s="3" t="s">
        <v>328</v>
      </c>
    </row>
    <row r="1125">
      <c r="A1125" s="23">
        <v>45889.882416215274</v>
      </c>
      <c r="B1125" s="3" t="s">
        <v>329</v>
      </c>
      <c r="C1125" s="3" t="s">
        <v>534</v>
      </c>
      <c r="D1125" s="3" t="s">
        <v>115</v>
      </c>
      <c r="E1125" s="3" t="s">
        <v>328</v>
      </c>
    </row>
    <row r="1126">
      <c r="A1126" s="23">
        <v>45889.882420891205</v>
      </c>
      <c r="B1126" s="3" t="s">
        <v>329</v>
      </c>
      <c r="C1126" s="3" t="s">
        <v>535</v>
      </c>
      <c r="D1126" s="3" t="s">
        <v>115</v>
      </c>
      <c r="E1126" s="3" t="s">
        <v>328</v>
      </c>
    </row>
    <row r="1127">
      <c r="A1127" s="23">
        <v>45889.88242342592</v>
      </c>
      <c r="B1127" s="3" t="s">
        <v>329</v>
      </c>
      <c r="C1127" s="3" t="s">
        <v>536</v>
      </c>
      <c r="D1127" s="3" t="s">
        <v>115</v>
      </c>
      <c r="E1127" s="3" t="s">
        <v>328</v>
      </c>
    </row>
    <row r="1128">
      <c r="A1128" s="23">
        <v>45889.882598738426</v>
      </c>
      <c r="B1128" s="3" t="s">
        <v>329</v>
      </c>
      <c r="C1128" s="3" t="str">
        <f>== Starting Full Finance Automation V10 ===</f>
        <v>#ERROR!</v>
      </c>
      <c r="D1128" s="3" t="s">
        <v>115</v>
      </c>
      <c r="E1128" s="3" t="s">
        <v>328</v>
      </c>
    </row>
    <row r="1129">
      <c r="A1129" s="23">
        <v>45889.88260261574</v>
      </c>
      <c r="B1129" s="3" t="s">
        <v>329</v>
      </c>
      <c r="C1129" s="3" t="s">
        <v>336</v>
      </c>
      <c r="D1129" s="3" t="s">
        <v>115</v>
      </c>
      <c r="E1129" s="3" t="s">
        <v>328</v>
      </c>
    </row>
    <row r="1130">
      <c r="A1130" s="23">
        <v>45889.88261701389</v>
      </c>
      <c r="B1130" s="3" t="s">
        <v>329</v>
      </c>
      <c r="C1130" s="3" t="s">
        <v>459</v>
      </c>
      <c r="D1130" s="3" t="s">
        <v>115</v>
      </c>
      <c r="E1130" s="3" t="s">
        <v>328</v>
      </c>
    </row>
    <row r="1131">
      <c r="A1131" s="23">
        <v>45889.88262824074</v>
      </c>
      <c r="B1131" s="3" t="s">
        <v>329</v>
      </c>
      <c r="C1131" s="3" t="s">
        <v>607</v>
      </c>
      <c r="D1131" s="3" t="s">
        <v>115</v>
      </c>
      <c r="E1131" s="3" t="s">
        <v>328</v>
      </c>
    </row>
    <row r="1132">
      <c r="A1132" s="23">
        <v>45889.88263447917</v>
      </c>
      <c r="B1132" s="3" t="s">
        <v>329</v>
      </c>
      <c r="C1132" s="3" t="s">
        <v>615</v>
      </c>
      <c r="D1132" s="3" t="s">
        <v>609</v>
      </c>
      <c r="E1132" s="3" t="s">
        <v>328</v>
      </c>
    </row>
    <row r="1133">
      <c r="A1133" s="23">
        <v>45889.88263796296</v>
      </c>
      <c r="B1133" s="3" t="s">
        <v>325</v>
      </c>
      <c r="C1133" s="3" t="s">
        <v>612</v>
      </c>
      <c r="D1133" s="3" t="s">
        <v>616</v>
      </c>
      <c r="E1133" s="3" t="s">
        <v>328</v>
      </c>
    </row>
    <row r="1134">
      <c r="A1134" s="23">
        <v>45889.8826525926</v>
      </c>
      <c r="B1134" s="3" t="s">
        <v>329</v>
      </c>
      <c r="C1134" s="3" t="s">
        <v>594</v>
      </c>
      <c r="D1134" s="3" t="s">
        <v>595</v>
      </c>
      <c r="E1134" s="3" t="s">
        <v>328</v>
      </c>
    </row>
    <row r="1135">
      <c r="A1135" s="23">
        <v>45889.882656076385</v>
      </c>
      <c r="B1135" s="3" t="s">
        <v>329</v>
      </c>
      <c r="C1135" s="3" t="s">
        <v>596</v>
      </c>
      <c r="D1135" s="3" t="s">
        <v>595</v>
      </c>
      <c r="E1135" s="3" t="s">
        <v>328</v>
      </c>
    </row>
    <row r="1136">
      <c r="A1136" s="23">
        <v>45889.88266210648</v>
      </c>
      <c r="B1136" s="3" t="s">
        <v>329</v>
      </c>
      <c r="C1136" s="3" t="s">
        <v>594</v>
      </c>
      <c r="D1136" s="3" t="s">
        <v>597</v>
      </c>
      <c r="E1136" s="3" t="s">
        <v>328</v>
      </c>
    </row>
    <row r="1137">
      <c r="A1137" s="23">
        <v>45889.8826652662</v>
      </c>
      <c r="B1137" s="3" t="s">
        <v>329</v>
      </c>
      <c r="C1137" s="3" t="s">
        <v>596</v>
      </c>
      <c r="D1137" s="3" t="s">
        <v>597</v>
      </c>
      <c r="E1137" s="3" t="s">
        <v>328</v>
      </c>
    </row>
    <row r="1138">
      <c r="A1138" s="23">
        <v>45889.88267302084</v>
      </c>
      <c r="B1138" s="3" t="s">
        <v>329</v>
      </c>
      <c r="C1138" s="3" t="s">
        <v>598</v>
      </c>
      <c r="D1138" s="3" t="s">
        <v>599</v>
      </c>
      <c r="E1138" s="3" t="s">
        <v>328</v>
      </c>
    </row>
    <row r="1139">
      <c r="A1139" s="23">
        <v>45889.88267681713</v>
      </c>
      <c r="B1139" s="3" t="s">
        <v>329</v>
      </c>
      <c r="C1139" s="3" t="s">
        <v>596</v>
      </c>
      <c r="D1139" s="3" t="s">
        <v>599</v>
      </c>
      <c r="E1139" s="3" t="s">
        <v>328</v>
      </c>
    </row>
    <row r="1140">
      <c r="A1140" s="23">
        <v>45889.88268834491</v>
      </c>
      <c r="B1140" s="3" t="s">
        <v>329</v>
      </c>
      <c r="C1140" s="3" t="s">
        <v>338</v>
      </c>
      <c r="D1140" s="3" t="s">
        <v>339</v>
      </c>
      <c r="E1140" s="3" t="s">
        <v>328</v>
      </c>
    </row>
    <row r="1141">
      <c r="A1141" s="23">
        <v>45889.882691875</v>
      </c>
      <c r="B1141" s="3" t="s">
        <v>329</v>
      </c>
      <c r="C1141" s="3" t="s">
        <v>497</v>
      </c>
      <c r="D1141" s="3" t="s">
        <v>115</v>
      </c>
      <c r="E1141" s="3" t="s">
        <v>328</v>
      </c>
    </row>
    <row r="1142">
      <c r="A1142" s="23">
        <v>45889.88269625</v>
      </c>
      <c r="B1142" s="3" t="s">
        <v>329</v>
      </c>
      <c r="C1142" s="3" t="s">
        <v>342</v>
      </c>
      <c r="D1142" s="3" t="s">
        <v>115</v>
      </c>
      <c r="E1142" s="3" t="s">
        <v>328</v>
      </c>
    </row>
    <row r="1143">
      <c r="A1143" s="23">
        <v>45889.882699849535</v>
      </c>
      <c r="B1143" s="3" t="s">
        <v>329</v>
      </c>
      <c r="C1143" s="3" t="s">
        <v>498</v>
      </c>
      <c r="D1143" s="3" t="s">
        <v>115</v>
      </c>
      <c r="E1143" s="3" t="s">
        <v>328</v>
      </c>
    </row>
    <row r="1144">
      <c r="A1144" s="23">
        <v>45889.88270861111</v>
      </c>
      <c r="B1144" s="3" t="s">
        <v>329</v>
      </c>
      <c r="C1144" s="3" t="s">
        <v>499</v>
      </c>
      <c r="D1144" s="3" t="s">
        <v>115</v>
      </c>
      <c r="E1144" s="3" t="s">
        <v>328</v>
      </c>
    </row>
    <row r="1145">
      <c r="A1145" s="23">
        <v>45889.88271979167</v>
      </c>
      <c r="B1145" s="3" t="s">
        <v>329</v>
      </c>
      <c r="C1145" s="3" t="s">
        <v>534</v>
      </c>
      <c r="D1145" s="3" t="s">
        <v>115</v>
      </c>
      <c r="E1145" s="3" t="s">
        <v>328</v>
      </c>
    </row>
    <row r="1146">
      <c r="A1146" s="23">
        <v>45889.88272825231</v>
      </c>
      <c r="B1146" s="3" t="s">
        <v>329</v>
      </c>
      <c r="C1146" s="3" t="s">
        <v>535</v>
      </c>
      <c r="D1146" s="3" t="s">
        <v>115</v>
      </c>
      <c r="E1146" s="3" t="s">
        <v>328</v>
      </c>
    </row>
    <row r="1147">
      <c r="A1147" s="23">
        <v>45889.882731736114</v>
      </c>
      <c r="B1147" s="3" t="s">
        <v>329</v>
      </c>
      <c r="C1147" s="3" t="s">
        <v>536</v>
      </c>
      <c r="D1147" s="3" t="s">
        <v>115</v>
      </c>
      <c r="E1147" s="3" t="s">
        <v>328</v>
      </c>
    </row>
    <row r="1148">
      <c r="A1148" s="23">
        <v>45889.88273467592</v>
      </c>
      <c r="B1148" s="3" t="s">
        <v>329</v>
      </c>
      <c r="C1148" s="3" t="s">
        <v>502</v>
      </c>
      <c r="D1148" s="3" t="s">
        <v>115</v>
      </c>
      <c r="E1148" s="3" t="s">
        <v>328</v>
      </c>
    </row>
    <row r="1149">
      <c r="A1149" s="23">
        <v>45889.88277574074</v>
      </c>
      <c r="B1149" s="3" t="s">
        <v>329</v>
      </c>
      <c r="C1149" s="3" t="s">
        <v>600</v>
      </c>
      <c r="D1149" s="3" t="s">
        <v>624</v>
      </c>
      <c r="E1149" s="3" t="s">
        <v>328</v>
      </c>
    </row>
    <row r="1150">
      <c r="A1150" s="23">
        <v>45889.882779074076</v>
      </c>
      <c r="B1150" s="3" t="s">
        <v>329</v>
      </c>
      <c r="C1150" s="3" t="str">
        <f>== Finance Automation V10 Complete ===</f>
        <v>#ERROR!</v>
      </c>
      <c r="D1150" s="3" t="s">
        <v>625</v>
      </c>
      <c r="E1150" s="3" t="s">
        <v>328</v>
      </c>
    </row>
    <row r="1151">
      <c r="A1151" s="23">
        <v>45889.883903888884</v>
      </c>
      <c r="B1151" s="3" t="s">
        <v>329</v>
      </c>
      <c r="C1151" s="3" t="s">
        <v>600</v>
      </c>
      <c r="D1151" s="3" t="s">
        <v>624</v>
      </c>
      <c r="E1151" s="3" t="s">
        <v>328</v>
      </c>
    </row>
    <row r="1152">
      <c r="A1152" s="23">
        <v>45889.88608846065</v>
      </c>
      <c r="B1152" s="3" t="s">
        <v>329</v>
      </c>
      <c r="C1152" s="3" t="str">
        <f>== Starting Full Finance Automation V10 ===</f>
        <v>#ERROR!</v>
      </c>
      <c r="D1152" s="3" t="s">
        <v>115</v>
      </c>
      <c r="E1152" s="3" t="s">
        <v>328</v>
      </c>
    </row>
    <row r="1153">
      <c r="A1153" s="23">
        <v>45889.88609083333</v>
      </c>
      <c r="B1153" s="3" t="s">
        <v>329</v>
      </c>
      <c r="C1153" s="3" t="s">
        <v>336</v>
      </c>
      <c r="D1153" s="3" t="s">
        <v>115</v>
      </c>
      <c r="E1153" s="3" t="s">
        <v>328</v>
      </c>
    </row>
    <row r="1154">
      <c r="A1154" s="23">
        <v>45889.88610256945</v>
      </c>
      <c r="B1154" s="3" t="s">
        <v>329</v>
      </c>
      <c r="C1154" s="3" t="s">
        <v>459</v>
      </c>
      <c r="D1154" s="3" t="s">
        <v>115</v>
      </c>
      <c r="E1154" s="3" t="s">
        <v>328</v>
      </c>
    </row>
    <row r="1155">
      <c r="A1155" s="23">
        <v>45889.88611929398</v>
      </c>
      <c r="B1155" s="3" t="s">
        <v>329</v>
      </c>
      <c r="C1155" s="3" t="s">
        <v>607</v>
      </c>
      <c r="D1155" s="3" t="s">
        <v>115</v>
      </c>
      <c r="E1155" s="3" t="s">
        <v>328</v>
      </c>
    </row>
    <row r="1156">
      <c r="A1156" s="23">
        <v>45889.886123668985</v>
      </c>
      <c r="B1156" s="3" t="s">
        <v>329</v>
      </c>
      <c r="C1156" s="3" t="s">
        <v>626</v>
      </c>
      <c r="D1156" s="3" t="s">
        <v>627</v>
      </c>
      <c r="E1156" s="3" t="s">
        <v>328</v>
      </c>
    </row>
    <row r="1157">
      <c r="A1157" s="23">
        <v>45889.886125902776</v>
      </c>
      <c r="B1157" s="3" t="s">
        <v>325</v>
      </c>
      <c r="C1157" s="3" t="s">
        <v>612</v>
      </c>
      <c r="D1157" s="3" t="s">
        <v>628</v>
      </c>
      <c r="E1157" s="3" t="s">
        <v>328</v>
      </c>
    </row>
    <row r="1158">
      <c r="A1158" s="23">
        <v>45889.88613678241</v>
      </c>
      <c r="B1158" s="3" t="s">
        <v>329</v>
      </c>
      <c r="C1158" s="3" t="s">
        <v>626</v>
      </c>
      <c r="D1158" s="3" t="s">
        <v>629</v>
      </c>
      <c r="E1158" s="3" t="s">
        <v>328</v>
      </c>
    </row>
    <row r="1159">
      <c r="A1159" s="23">
        <v>45889.886139131944</v>
      </c>
      <c r="B1159" s="3" t="s">
        <v>325</v>
      </c>
      <c r="C1159" s="3" t="s">
        <v>405</v>
      </c>
      <c r="D1159" s="3" t="s">
        <v>628</v>
      </c>
      <c r="E1159" s="3" t="s">
        <v>328</v>
      </c>
    </row>
    <row r="1160">
      <c r="A1160" s="23">
        <v>45889.886143275464</v>
      </c>
      <c r="B1160" s="3" t="s">
        <v>329</v>
      </c>
      <c r="C1160" s="3" t="s">
        <v>626</v>
      </c>
      <c r="D1160" s="3" t="s">
        <v>630</v>
      </c>
      <c r="E1160" s="3" t="s">
        <v>328</v>
      </c>
    </row>
    <row r="1161">
      <c r="A1161" s="23">
        <v>45889.88615219908</v>
      </c>
      <c r="B1161" s="3" t="s">
        <v>325</v>
      </c>
      <c r="C1161" s="3" t="s">
        <v>406</v>
      </c>
      <c r="D1161" s="3" t="s">
        <v>628</v>
      </c>
      <c r="E1161" s="3" t="s">
        <v>328</v>
      </c>
    </row>
    <row r="1162">
      <c r="A1162" s="23">
        <v>45889.886158368055</v>
      </c>
      <c r="B1162" s="3" t="s">
        <v>329</v>
      </c>
      <c r="C1162" s="3" t="s">
        <v>626</v>
      </c>
      <c r="D1162" s="3" t="s">
        <v>631</v>
      </c>
      <c r="E1162" s="3" t="s">
        <v>328</v>
      </c>
    </row>
    <row r="1163">
      <c r="A1163" s="23">
        <v>45889.886160821756</v>
      </c>
      <c r="B1163" s="3" t="s">
        <v>325</v>
      </c>
      <c r="C1163" s="3" t="s">
        <v>407</v>
      </c>
      <c r="D1163" s="3" t="s">
        <v>628</v>
      </c>
      <c r="E1163" s="3" t="s">
        <v>328</v>
      </c>
    </row>
    <row r="1164">
      <c r="A1164" s="23">
        <v>45889.88617128472</v>
      </c>
      <c r="B1164" s="3" t="s">
        <v>329</v>
      </c>
      <c r="C1164" s="3" t="s">
        <v>338</v>
      </c>
      <c r="D1164" s="3" t="s">
        <v>339</v>
      </c>
      <c r="E1164" s="3" t="s">
        <v>328</v>
      </c>
    </row>
    <row r="1165">
      <c r="A1165" s="23">
        <v>45889.8861734838</v>
      </c>
      <c r="B1165" s="3" t="s">
        <v>329</v>
      </c>
      <c r="C1165" s="3" t="s">
        <v>497</v>
      </c>
      <c r="D1165" s="3" t="s">
        <v>115</v>
      </c>
      <c r="E1165" s="3" t="s">
        <v>328</v>
      </c>
    </row>
    <row r="1166">
      <c r="A1166" s="23">
        <v>45889.88617637732</v>
      </c>
      <c r="B1166" s="3" t="s">
        <v>329</v>
      </c>
      <c r="C1166" s="3" t="s">
        <v>342</v>
      </c>
      <c r="D1166" s="3" t="s">
        <v>115</v>
      </c>
      <c r="E1166" s="3" t="s">
        <v>328</v>
      </c>
    </row>
    <row r="1167">
      <c r="A1167" s="23">
        <v>45889.886178553235</v>
      </c>
      <c r="B1167" s="3" t="s">
        <v>329</v>
      </c>
      <c r="C1167" s="3" t="s">
        <v>498</v>
      </c>
      <c r="D1167" s="3" t="s">
        <v>115</v>
      </c>
      <c r="E1167" s="3" t="s">
        <v>328</v>
      </c>
    </row>
    <row r="1168">
      <c r="A1168" s="23">
        <v>45889.886182291666</v>
      </c>
      <c r="B1168" s="3" t="s">
        <v>329</v>
      </c>
      <c r="C1168" s="3" t="s">
        <v>499</v>
      </c>
      <c r="D1168" s="3" t="s">
        <v>115</v>
      </c>
      <c r="E1168" s="3" t="s">
        <v>328</v>
      </c>
    </row>
    <row r="1169">
      <c r="A1169" s="23">
        <v>45889.8862059838</v>
      </c>
      <c r="B1169" s="3" t="s">
        <v>329</v>
      </c>
      <c r="C1169" s="3" t="s">
        <v>534</v>
      </c>
      <c r="D1169" s="3" t="s">
        <v>115</v>
      </c>
      <c r="E1169" s="3" t="s">
        <v>328</v>
      </c>
    </row>
    <row r="1170">
      <c r="A1170" s="23">
        <v>45889.8862250463</v>
      </c>
      <c r="B1170" s="3" t="s">
        <v>329</v>
      </c>
      <c r="C1170" s="3" t="s">
        <v>535</v>
      </c>
      <c r="D1170" s="3" t="s">
        <v>115</v>
      </c>
      <c r="E1170" s="3" t="s">
        <v>328</v>
      </c>
    </row>
    <row r="1171">
      <c r="A1171" s="23">
        <v>45889.886243078705</v>
      </c>
      <c r="B1171" s="3" t="s">
        <v>329</v>
      </c>
      <c r="C1171" s="3" t="s">
        <v>536</v>
      </c>
      <c r="D1171" s="3" t="s">
        <v>115</v>
      </c>
      <c r="E1171" s="3" t="s">
        <v>328</v>
      </c>
    </row>
    <row r="1172">
      <c r="A1172" s="23">
        <v>45889.8862455787</v>
      </c>
      <c r="B1172" s="3" t="s">
        <v>329</v>
      </c>
      <c r="C1172" s="3" t="s">
        <v>502</v>
      </c>
      <c r="D1172" s="3" t="s">
        <v>115</v>
      </c>
      <c r="E1172" s="3" t="s">
        <v>328</v>
      </c>
    </row>
    <row r="1173">
      <c r="A1173" s="23">
        <v>45889.886285347224</v>
      </c>
      <c r="B1173" s="3" t="s">
        <v>329</v>
      </c>
      <c r="C1173" s="3" t="s">
        <v>600</v>
      </c>
      <c r="D1173" s="3" t="s">
        <v>624</v>
      </c>
      <c r="E1173" s="3" t="s">
        <v>328</v>
      </c>
    </row>
    <row r="1174">
      <c r="A1174" s="23">
        <v>45889.88628784722</v>
      </c>
      <c r="B1174" s="3" t="s">
        <v>329</v>
      </c>
      <c r="C1174" s="3" t="str">
        <f>== Finance Automation V10 Complete ===</f>
        <v>#ERROR!</v>
      </c>
      <c r="D1174" s="3" t="s">
        <v>632</v>
      </c>
      <c r="E1174" s="3" t="s">
        <v>328</v>
      </c>
    </row>
    <row r="1175">
      <c r="A1175" s="23">
        <v>45889.909826145835</v>
      </c>
      <c r="B1175" s="3" t="s">
        <v>329</v>
      </c>
      <c r="C1175" s="3" t="str">
        <f>== Starting Full Finance Automation V10 ===</f>
        <v>#ERROR!</v>
      </c>
      <c r="D1175" s="3" t="s">
        <v>115</v>
      </c>
      <c r="E1175" s="3" t="s">
        <v>328</v>
      </c>
    </row>
    <row r="1176">
      <c r="A1176" s="23">
        <v>45889.90982908565</v>
      </c>
      <c r="B1176" s="3" t="s">
        <v>329</v>
      </c>
      <c r="C1176" s="3" t="s">
        <v>336</v>
      </c>
      <c r="D1176" s="3" t="s">
        <v>115</v>
      </c>
      <c r="E1176" s="3" t="s">
        <v>328</v>
      </c>
    </row>
    <row r="1177">
      <c r="A1177" s="23">
        <v>45889.90984162037</v>
      </c>
      <c r="B1177" s="3" t="s">
        <v>329</v>
      </c>
      <c r="C1177" s="3" t="s">
        <v>633</v>
      </c>
      <c r="D1177" s="3" t="s">
        <v>115</v>
      </c>
      <c r="E1177" s="3" t="s">
        <v>328</v>
      </c>
    </row>
    <row r="1178">
      <c r="A1178" s="23">
        <v>45889.90984587963</v>
      </c>
      <c r="B1178" s="3" t="s">
        <v>329</v>
      </c>
      <c r="C1178" s="3" t="s">
        <v>634</v>
      </c>
      <c r="D1178" s="3" t="s">
        <v>115</v>
      </c>
      <c r="E1178" s="3" t="s">
        <v>328</v>
      </c>
    </row>
    <row r="1179">
      <c r="A1179" s="23">
        <v>45889.90986799769</v>
      </c>
      <c r="B1179" s="3" t="s">
        <v>329</v>
      </c>
      <c r="C1179" s="3" t="s">
        <v>635</v>
      </c>
      <c r="D1179" s="3" t="s">
        <v>115</v>
      </c>
      <c r="E1179" s="3" t="s">
        <v>328</v>
      </c>
    </row>
    <row r="1180">
      <c r="A1180" s="23">
        <v>45889.90987241898</v>
      </c>
      <c r="B1180" s="3" t="s">
        <v>329</v>
      </c>
      <c r="C1180" s="3" t="s">
        <v>636</v>
      </c>
      <c r="D1180" s="3" t="s">
        <v>115</v>
      </c>
      <c r="E1180" s="3" t="s">
        <v>328</v>
      </c>
    </row>
    <row r="1181">
      <c r="A1181" s="23">
        <v>45889.90988946759</v>
      </c>
      <c r="B1181" s="3" t="s">
        <v>329</v>
      </c>
      <c r="C1181" s="3" t="s">
        <v>637</v>
      </c>
      <c r="D1181" s="3" t="s">
        <v>115</v>
      </c>
      <c r="E1181" s="3" t="s">
        <v>328</v>
      </c>
    </row>
    <row r="1182">
      <c r="A1182" s="23">
        <v>45889.90989422453</v>
      </c>
      <c r="B1182" s="3" t="s">
        <v>329</v>
      </c>
      <c r="C1182" s="3" t="s">
        <v>638</v>
      </c>
      <c r="D1182" s="3" t="s">
        <v>115</v>
      </c>
      <c r="E1182" s="3" t="s">
        <v>328</v>
      </c>
    </row>
    <row r="1183">
      <c r="A1183" s="23">
        <v>45889.90990834491</v>
      </c>
      <c r="B1183" s="3" t="s">
        <v>329</v>
      </c>
      <c r="C1183" s="3" t="s">
        <v>639</v>
      </c>
      <c r="D1183" s="3" t="s">
        <v>115</v>
      </c>
      <c r="E1183" s="3" t="s">
        <v>328</v>
      </c>
    </row>
    <row r="1184">
      <c r="A1184" s="23">
        <v>45889.909931898146</v>
      </c>
      <c r="B1184" s="3" t="s">
        <v>329</v>
      </c>
      <c r="C1184" s="3" t="s">
        <v>640</v>
      </c>
      <c r="D1184" s="3" t="s">
        <v>115</v>
      </c>
      <c r="E1184" s="3" t="s">
        <v>328</v>
      </c>
    </row>
    <row r="1185">
      <c r="A1185" s="23">
        <v>45889.90993511574</v>
      </c>
      <c r="B1185" s="3" t="s">
        <v>329</v>
      </c>
      <c r="C1185" s="3" t="s">
        <v>641</v>
      </c>
      <c r="D1185" s="3" t="s">
        <v>115</v>
      </c>
      <c r="E1185" s="3" t="s">
        <v>328</v>
      </c>
    </row>
    <row r="1186">
      <c r="A1186" s="23">
        <v>45889.909939062505</v>
      </c>
      <c r="B1186" s="3" t="s">
        <v>329</v>
      </c>
      <c r="C1186" s="3" t="s">
        <v>642</v>
      </c>
      <c r="D1186" s="3" t="s">
        <v>115</v>
      </c>
      <c r="E1186" s="3" t="s">
        <v>328</v>
      </c>
    </row>
    <row r="1187">
      <c r="A1187" s="23">
        <v>45889.909942858794</v>
      </c>
      <c r="B1187" s="3" t="s">
        <v>329</v>
      </c>
      <c r="C1187" s="3" t="s">
        <v>643</v>
      </c>
      <c r="D1187" s="3" t="s">
        <v>115</v>
      </c>
      <c r="E1187" s="3" t="s">
        <v>328</v>
      </c>
    </row>
    <row r="1188">
      <c r="A1188" s="23">
        <v>45889.909959826386</v>
      </c>
      <c r="B1188" s="3" t="s">
        <v>329</v>
      </c>
      <c r="C1188" s="3" t="s">
        <v>644</v>
      </c>
      <c r="D1188" s="3" t="s">
        <v>115</v>
      </c>
      <c r="E1188" s="3" t="s">
        <v>328</v>
      </c>
    </row>
    <row r="1189">
      <c r="A1189" s="23">
        <v>45889.90996293981</v>
      </c>
      <c r="B1189" s="3" t="s">
        <v>329</v>
      </c>
      <c r="C1189" s="3" t="s">
        <v>645</v>
      </c>
      <c r="D1189" s="3" t="s">
        <v>115</v>
      </c>
      <c r="E1189" s="3" t="s">
        <v>328</v>
      </c>
    </row>
    <row r="1190">
      <c r="A1190" s="23">
        <v>45889.909980219905</v>
      </c>
      <c r="B1190" s="3" t="s">
        <v>329</v>
      </c>
      <c r="C1190" s="3" t="s">
        <v>646</v>
      </c>
      <c r="D1190" s="3" t="s">
        <v>115</v>
      </c>
      <c r="E1190" s="3" t="s">
        <v>328</v>
      </c>
    </row>
    <row r="1191">
      <c r="A1191" s="23">
        <v>45889.909983564816</v>
      </c>
      <c r="B1191" s="3" t="s">
        <v>329</v>
      </c>
      <c r="C1191" s="3" t="s">
        <v>647</v>
      </c>
      <c r="D1191" s="3" t="s">
        <v>115</v>
      </c>
      <c r="E1191" s="3" t="s">
        <v>328</v>
      </c>
    </row>
    <row r="1192">
      <c r="A1192" s="23">
        <v>45889.90998700232</v>
      </c>
      <c r="B1192" s="3" t="s">
        <v>329</v>
      </c>
      <c r="C1192" s="3" t="s">
        <v>459</v>
      </c>
      <c r="D1192" s="3" t="s">
        <v>115</v>
      </c>
      <c r="E1192" s="3" t="s">
        <v>328</v>
      </c>
    </row>
    <row r="1193">
      <c r="A1193" s="23">
        <v>45889.91000042824</v>
      </c>
      <c r="B1193" s="3" t="s">
        <v>329</v>
      </c>
      <c r="C1193" s="3" t="s">
        <v>648</v>
      </c>
      <c r="D1193" s="3" t="s">
        <v>115</v>
      </c>
      <c r="E1193" s="3" t="s">
        <v>328</v>
      </c>
    </row>
    <row r="1194">
      <c r="A1194" s="23">
        <v>45889.91000621528</v>
      </c>
      <c r="B1194" s="3" t="s">
        <v>329</v>
      </c>
      <c r="C1194" s="3" t="s">
        <v>649</v>
      </c>
      <c r="D1194" s="3" t="s">
        <v>650</v>
      </c>
      <c r="E1194" s="3" t="s">
        <v>328</v>
      </c>
    </row>
    <row r="1195">
      <c r="A1195" s="23">
        <v>45889.91000915509</v>
      </c>
      <c r="B1195" s="3" t="s">
        <v>329</v>
      </c>
      <c r="C1195" s="3" t="s">
        <v>626</v>
      </c>
      <c r="D1195" s="3" t="s">
        <v>627</v>
      </c>
      <c r="E1195" s="3" t="s">
        <v>328</v>
      </c>
    </row>
    <row r="1196">
      <c r="A1196" s="23">
        <v>45889.9104253125</v>
      </c>
      <c r="B1196" s="3" t="s">
        <v>329</v>
      </c>
      <c r="C1196" s="3" t="str">
        <f>== Starting Full Finance Automation V10 ===</f>
        <v>#ERROR!</v>
      </c>
      <c r="D1196" s="3" t="s">
        <v>115</v>
      </c>
      <c r="E1196" s="3" t="s">
        <v>328</v>
      </c>
    </row>
    <row r="1197">
      <c r="A1197" s="23">
        <v>45889.910428206014</v>
      </c>
      <c r="B1197" s="3" t="s">
        <v>329</v>
      </c>
      <c r="C1197" s="3" t="s">
        <v>336</v>
      </c>
      <c r="D1197" s="3" t="s">
        <v>115</v>
      </c>
      <c r="E1197" s="3" t="s">
        <v>328</v>
      </c>
    </row>
    <row r="1198">
      <c r="A1198" s="23">
        <v>45889.91043186343</v>
      </c>
      <c r="B1198" s="3" t="s">
        <v>329</v>
      </c>
      <c r="C1198" s="3" t="s">
        <v>633</v>
      </c>
      <c r="D1198" s="3" t="s">
        <v>115</v>
      </c>
      <c r="E1198" s="3" t="s">
        <v>328</v>
      </c>
    </row>
    <row r="1199">
      <c r="A1199" s="23">
        <v>45889.910436122685</v>
      </c>
      <c r="B1199" s="3" t="s">
        <v>329</v>
      </c>
      <c r="C1199" s="3" t="s">
        <v>634</v>
      </c>
      <c r="D1199" s="3" t="s">
        <v>115</v>
      </c>
      <c r="E1199" s="3" t="s">
        <v>328</v>
      </c>
    </row>
    <row r="1200">
      <c r="A1200" s="23">
        <v>45889.91043998842</v>
      </c>
      <c r="B1200" s="3" t="s">
        <v>329</v>
      </c>
      <c r="C1200" s="3" t="s">
        <v>635</v>
      </c>
      <c r="D1200" s="3" t="s">
        <v>115</v>
      </c>
      <c r="E1200" s="3" t="s">
        <v>328</v>
      </c>
    </row>
    <row r="1201">
      <c r="A1201" s="23">
        <v>45889.91044346065</v>
      </c>
      <c r="B1201" s="3" t="s">
        <v>329</v>
      </c>
      <c r="C1201" s="3" t="s">
        <v>636</v>
      </c>
      <c r="D1201" s="3" t="s">
        <v>115</v>
      </c>
      <c r="E1201" s="3" t="s">
        <v>328</v>
      </c>
    </row>
    <row r="1202">
      <c r="A1202" s="23">
        <v>45889.91044731482</v>
      </c>
      <c r="B1202" s="3" t="s">
        <v>329</v>
      </c>
      <c r="C1202" s="3" t="s">
        <v>637</v>
      </c>
      <c r="D1202" s="3" t="s">
        <v>115</v>
      </c>
      <c r="E1202" s="3" t="s">
        <v>328</v>
      </c>
    </row>
    <row r="1203">
      <c r="A1203" s="23">
        <v>45889.91045159722</v>
      </c>
      <c r="B1203" s="3" t="s">
        <v>329</v>
      </c>
      <c r="C1203" s="3" t="s">
        <v>638</v>
      </c>
      <c r="D1203" s="3" t="s">
        <v>115</v>
      </c>
      <c r="E1203" s="3" t="s">
        <v>328</v>
      </c>
    </row>
    <row r="1204">
      <c r="A1204" s="23">
        <v>45889.91045494213</v>
      </c>
      <c r="B1204" s="3" t="s">
        <v>329</v>
      </c>
      <c r="C1204" s="3" t="s">
        <v>639</v>
      </c>
      <c r="D1204" s="3" t="s">
        <v>115</v>
      </c>
      <c r="E1204" s="3" t="s">
        <v>328</v>
      </c>
    </row>
    <row r="1205">
      <c r="A1205" s="23">
        <v>45889.910458680555</v>
      </c>
      <c r="B1205" s="3" t="s">
        <v>329</v>
      </c>
      <c r="C1205" s="3" t="s">
        <v>651</v>
      </c>
      <c r="D1205" s="3" t="s">
        <v>115</v>
      </c>
      <c r="E1205" s="3" t="s">
        <v>328</v>
      </c>
    </row>
    <row r="1206">
      <c r="A1206" s="23">
        <v>45889.91045953704</v>
      </c>
      <c r="B1206" s="3" t="s">
        <v>329</v>
      </c>
      <c r="C1206" s="3" t="s">
        <v>596</v>
      </c>
      <c r="D1206" s="3" t="s">
        <v>609</v>
      </c>
      <c r="E1206" s="3" t="s">
        <v>328</v>
      </c>
    </row>
    <row r="1207">
      <c r="A1207" s="23">
        <v>45889.91046298611</v>
      </c>
      <c r="B1207" s="3" t="s">
        <v>329</v>
      </c>
      <c r="C1207" s="3" t="s">
        <v>652</v>
      </c>
      <c r="D1207" s="3" t="s">
        <v>115</v>
      </c>
      <c r="E1207" s="3" t="s">
        <v>328</v>
      </c>
    </row>
    <row r="1208">
      <c r="A1208" s="23">
        <v>45889.91046630787</v>
      </c>
      <c r="B1208" s="3" t="s">
        <v>329</v>
      </c>
      <c r="C1208" s="3" t="s">
        <v>643</v>
      </c>
      <c r="D1208" s="3" t="s">
        <v>115</v>
      </c>
      <c r="E1208" s="3" t="s">
        <v>328</v>
      </c>
    </row>
    <row r="1209">
      <c r="A1209" s="23">
        <v>45889.91046991898</v>
      </c>
      <c r="B1209" s="3" t="s">
        <v>329</v>
      </c>
      <c r="C1209" s="3" t="s">
        <v>653</v>
      </c>
      <c r="D1209" s="3" t="s">
        <v>115</v>
      </c>
      <c r="E1209" s="3" t="s">
        <v>328</v>
      </c>
    </row>
    <row r="1210">
      <c r="A1210" s="23">
        <v>45889.910474317134</v>
      </c>
      <c r="B1210" s="3" t="s">
        <v>329</v>
      </c>
      <c r="C1210" s="3" t="s">
        <v>654</v>
      </c>
      <c r="D1210" s="3" t="s">
        <v>115</v>
      </c>
      <c r="E1210" s="3" t="s">
        <v>328</v>
      </c>
    </row>
    <row r="1211">
      <c r="A1211" s="23">
        <v>45889.910476840276</v>
      </c>
      <c r="B1211" s="3" t="s">
        <v>329</v>
      </c>
      <c r="C1211" s="3" t="s">
        <v>459</v>
      </c>
      <c r="D1211" s="3" t="s">
        <v>115</v>
      </c>
      <c r="E1211" s="3" t="s">
        <v>328</v>
      </c>
    </row>
    <row r="1212">
      <c r="A1212" s="23">
        <v>45889.91048672453</v>
      </c>
      <c r="B1212" s="3" t="s">
        <v>329</v>
      </c>
      <c r="C1212" s="3" t="s">
        <v>649</v>
      </c>
      <c r="D1212" s="3" t="s">
        <v>655</v>
      </c>
      <c r="E1212" s="3" t="s">
        <v>328</v>
      </c>
    </row>
    <row r="1213">
      <c r="A1213" s="23">
        <v>45889.910489421294</v>
      </c>
      <c r="B1213" s="3" t="s">
        <v>329</v>
      </c>
      <c r="C1213" s="3" t="s">
        <v>626</v>
      </c>
      <c r="D1213" s="3" t="s">
        <v>629</v>
      </c>
      <c r="E1213" s="3" t="s">
        <v>328</v>
      </c>
    </row>
    <row r="1214">
      <c r="A1214" s="23">
        <v>45889.910494490745</v>
      </c>
      <c r="B1214" s="3" t="s">
        <v>329</v>
      </c>
      <c r="C1214" s="3" t="s">
        <v>648</v>
      </c>
      <c r="D1214" s="3" t="s">
        <v>115</v>
      </c>
      <c r="E1214" s="3" t="s">
        <v>328</v>
      </c>
    </row>
    <row r="1215">
      <c r="A1215" s="23">
        <v>45889.91050672454</v>
      </c>
      <c r="B1215" s="3" t="s">
        <v>329</v>
      </c>
      <c r="C1215" s="3" t="s">
        <v>649</v>
      </c>
      <c r="D1215" s="3" t="s">
        <v>650</v>
      </c>
      <c r="E1215" s="3" t="s">
        <v>328</v>
      </c>
    </row>
    <row r="1216">
      <c r="A1216" s="23">
        <v>45889.91050991898</v>
      </c>
      <c r="B1216" s="3" t="s">
        <v>329</v>
      </c>
      <c r="C1216" s="3" t="s">
        <v>626</v>
      </c>
      <c r="D1216" s="3" t="s">
        <v>627</v>
      </c>
      <c r="E1216" s="3" t="s">
        <v>328</v>
      </c>
    </row>
    <row r="1217">
      <c r="A1217" s="23">
        <v>45889.9107928125</v>
      </c>
      <c r="B1217" s="3" t="s">
        <v>329</v>
      </c>
      <c r="C1217" s="3" t="s">
        <v>596</v>
      </c>
      <c r="D1217" s="3" t="s">
        <v>595</v>
      </c>
      <c r="E1217" s="3" t="s">
        <v>328</v>
      </c>
    </row>
    <row r="1218">
      <c r="A1218" s="23">
        <v>45889.910802280094</v>
      </c>
      <c r="B1218" s="3" t="s">
        <v>329</v>
      </c>
      <c r="C1218" s="3" t="s">
        <v>649</v>
      </c>
      <c r="D1218" s="3" t="s">
        <v>656</v>
      </c>
      <c r="E1218" s="3" t="s">
        <v>328</v>
      </c>
    </row>
    <row r="1219">
      <c r="A1219" s="23">
        <v>45889.91080496528</v>
      </c>
      <c r="B1219" s="3" t="s">
        <v>329</v>
      </c>
      <c r="C1219" s="3" t="s">
        <v>626</v>
      </c>
      <c r="D1219" s="3" t="s">
        <v>630</v>
      </c>
      <c r="E1219" s="3" t="s">
        <v>328</v>
      </c>
    </row>
    <row r="1220">
      <c r="A1220" s="23">
        <v>45889.910874953704</v>
      </c>
      <c r="B1220" s="3" t="s">
        <v>329</v>
      </c>
      <c r="C1220" s="3" t="s">
        <v>596</v>
      </c>
      <c r="D1220" s="3" t="s">
        <v>609</v>
      </c>
      <c r="E1220" s="3" t="s">
        <v>328</v>
      </c>
    </row>
    <row r="1221">
      <c r="A1221" s="23">
        <v>45889.91088347222</v>
      </c>
      <c r="B1221" s="3" t="s">
        <v>329</v>
      </c>
      <c r="C1221" s="3" t="s">
        <v>649</v>
      </c>
      <c r="D1221" s="3" t="s">
        <v>655</v>
      </c>
      <c r="E1221" s="3" t="s">
        <v>328</v>
      </c>
    </row>
    <row r="1222">
      <c r="A1222" s="23">
        <v>45889.9108914699</v>
      </c>
      <c r="B1222" s="3" t="s">
        <v>329</v>
      </c>
      <c r="C1222" s="3" t="s">
        <v>626</v>
      </c>
      <c r="D1222" s="3" t="s">
        <v>629</v>
      </c>
      <c r="E1222" s="3" t="s">
        <v>328</v>
      </c>
    </row>
    <row r="1223">
      <c r="A1223" s="23">
        <v>45889.910936898144</v>
      </c>
      <c r="B1223" s="3" t="s">
        <v>329</v>
      </c>
      <c r="C1223" s="3" t="s">
        <v>596</v>
      </c>
      <c r="D1223" s="3" t="s">
        <v>597</v>
      </c>
      <c r="E1223" s="3" t="s">
        <v>328</v>
      </c>
    </row>
    <row r="1224">
      <c r="A1224" s="23">
        <v>45889.91094501158</v>
      </c>
      <c r="B1224" s="3" t="s">
        <v>329</v>
      </c>
      <c r="C1224" s="3" t="s">
        <v>649</v>
      </c>
      <c r="D1224" s="3" t="s">
        <v>657</v>
      </c>
      <c r="E1224" s="3" t="s">
        <v>328</v>
      </c>
    </row>
    <row r="1225">
      <c r="A1225" s="23">
        <v>45889.91094833333</v>
      </c>
      <c r="B1225" s="3" t="s">
        <v>329</v>
      </c>
      <c r="C1225" s="3" t="s">
        <v>626</v>
      </c>
      <c r="D1225" s="3" t="s">
        <v>631</v>
      </c>
      <c r="E1225" s="3" t="s">
        <v>328</v>
      </c>
    </row>
    <row r="1226">
      <c r="A1226" s="23">
        <v>45889.91114815972</v>
      </c>
      <c r="B1226" s="3" t="s">
        <v>329</v>
      </c>
      <c r="C1226" s="3" t="s">
        <v>596</v>
      </c>
      <c r="D1226" s="3" t="s">
        <v>599</v>
      </c>
      <c r="E1226" s="3" t="s">
        <v>328</v>
      </c>
    </row>
    <row r="1227">
      <c r="A1227" s="23">
        <v>45889.91115865741</v>
      </c>
      <c r="B1227" s="3" t="s">
        <v>329</v>
      </c>
      <c r="C1227" s="3" t="s">
        <v>596</v>
      </c>
      <c r="D1227" s="3" t="s">
        <v>595</v>
      </c>
      <c r="E1227" s="3" t="s">
        <v>328</v>
      </c>
    </row>
    <row r="1228">
      <c r="A1228" s="23">
        <v>45889.91116883102</v>
      </c>
      <c r="B1228" s="3" t="s">
        <v>329</v>
      </c>
      <c r="C1228" s="3" t="s">
        <v>338</v>
      </c>
      <c r="D1228" s="3" t="s">
        <v>339</v>
      </c>
      <c r="E1228" s="3" t="s">
        <v>328</v>
      </c>
    </row>
    <row r="1229">
      <c r="A1229" s="23">
        <v>45889.911171608794</v>
      </c>
      <c r="B1229" s="3" t="s">
        <v>329</v>
      </c>
      <c r="C1229" s="3" t="s">
        <v>497</v>
      </c>
      <c r="D1229" s="3" t="s">
        <v>115</v>
      </c>
      <c r="E1229" s="3" t="s">
        <v>328</v>
      </c>
    </row>
    <row r="1230">
      <c r="A1230" s="23">
        <v>45889.91117489584</v>
      </c>
      <c r="B1230" s="3" t="s">
        <v>329</v>
      </c>
      <c r="C1230" s="3" t="s">
        <v>342</v>
      </c>
      <c r="D1230" s="3" t="s">
        <v>115</v>
      </c>
      <c r="E1230" s="3" t="s">
        <v>328</v>
      </c>
    </row>
    <row r="1231">
      <c r="A1231" s="23">
        <v>45889.911161944445</v>
      </c>
      <c r="B1231" s="3" t="s">
        <v>329</v>
      </c>
      <c r="C1231" s="3" t="s">
        <v>649</v>
      </c>
      <c r="D1231" s="3" t="s">
        <v>656</v>
      </c>
      <c r="E1231" s="3" t="s">
        <v>328</v>
      </c>
    </row>
    <row r="1232">
      <c r="A1232" s="23">
        <v>45889.91117731482</v>
      </c>
      <c r="B1232" s="3" t="s">
        <v>329</v>
      </c>
      <c r="C1232" s="3" t="s">
        <v>498</v>
      </c>
      <c r="D1232" s="3" t="s">
        <v>115</v>
      </c>
      <c r="E1232" s="3" t="s">
        <v>328</v>
      </c>
    </row>
    <row r="1233">
      <c r="A1233" s="23">
        <v>45889.911178842594</v>
      </c>
      <c r="B1233" s="3" t="s">
        <v>329</v>
      </c>
      <c r="C1233" s="3" t="s">
        <v>626</v>
      </c>
      <c r="D1233" s="3" t="s">
        <v>630</v>
      </c>
      <c r="E1233" s="3" t="s">
        <v>328</v>
      </c>
    </row>
    <row r="1234">
      <c r="A1234" s="23">
        <v>45889.91118251157</v>
      </c>
      <c r="B1234" s="3" t="s">
        <v>329</v>
      </c>
      <c r="C1234" s="3" t="s">
        <v>499</v>
      </c>
      <c r="D1234" s="3" t="s">
        <v>115</v>
      </c>
      <c r="E1234" s="3" t="s">
        <v>328</v>
      </c>
    </row>
    <row r="1235">
      <c r="A1235" s="23">
        <v>45889.911199560185</v>
      </c>
      <c r="B1235" s="3" t="s">
        <v>329</v>
      </c>
      <c r="C1235" s="3" t="s">
        <v>534</v>
      </c>
      <c r="D1235" s="3" t="s">
        <v>115</v>
      </c>
      <c r="E1235" s="3" t="s">
        <v>328</v>
      </c>
    </row>
    <row r="1236">
      <c r="A1236" s="23">
        <v>45889.91120478009</v>
      </c>
      <c r="B1236" s="3" t="s">
        <v>329</v>
      </c>
      <c r="C1236" s="3" t="s">
        <v>535</v>
      </c>
      <c r="D1236" s="3" t="s">
        <v>115</v>
      </c>
      <c r="E1236" s="3" t="s">
        <v>328</v>
      </c>
    </row>
    <row r="1237">
      <c r="A1237" s="23">
        <v>45889.911208935184</v>
      </c>
      <c r="B1237" s="3" t="s">
        <v>329</v>
      </c>
      <c r="C1237" s="3" t="s">
        <v>536</v>
      </c>
      <c r="D1237" s="3" t="s">
        <v>115</v>
      </c>
      <c r="E1237" s="3" t="s">
        <v>328</v>
      </c>
    </row>
    <row r="1238">
      <c r="A1238" s="23">
        <v>45889.91121177083</v>
      </c>
      <c r="B1238" s="3" t="s">
        <v>329</v>
      </c>
      <c r="C1238" s="3" t="s">
        <v>502</v>
      </c>
      <c r="D1238" s="3" t="s">
        <v>115</v>
      </c>
      <c r="E1238" s="3" t="s">
        <v>328</v>
      </c>
    </row>
    <row r="1239">
      <c r="A1239" s="23">
        <v>45889.911270358796</v>
      </c>
      <c r="B1239" s="3" t="s">
        <v>329</v>
      </c>
      <c r="C1239" s="3" t="s">
        <v>600</v>
      </c>
      <c r="D1239" s="3" t="s">
        <v>624</v>
      </c>
      <c r="E1239" s="3" t="s">
        <v>328</v>
      </c>
    </row>
    <row r="1240">
      <c r="A1240" s="23">
        <v>45889.91127350694</v>
      </c>
      <c r="B1240" s="3" t="s">
        <v>329</v>
      </c>
      <c r="C1240" s="3" t="str">
        <f>== Finance Automation V10 Complete ===</f>
        <v>#ERROR!</v>
      </c>
      <c r="D1240" s="3" t="s">
        <v>658</v>
      </c>
      <c r="E1240" s="3" t="s">
        <v>328</v>
      </c>
    </row>
    <row r="1241">
      <c r="A1241" s="23">
        <v>45889.911293020836</v>
      </c>
      <c r="B1241" s="3" t="s">
        <v>329</v>
      </c>
      <c r="C1241" s="3" t="s">
        <v>596</v>
      </c>
      <c r="D1241" s="3" t="s">
        <v>597</v>
      </c>
      <c r="E1241" s="3" t="s">
        <v>328</v>
      </c>
    </row>
    <row r="1242">
      <c r="A1242" s="23">
        <v>45889.91129743056</v>
      </c>
      <c r="B1242" s="3" t="s">
        <v>329</v>
      </c>
      <c r="C1242" s="3" t="s">
        <v>649</v>
      </c>
      <c r="D1242" s="3" t="s">
        <v>657</v>
      </c>
      <c r="E1242" s="3" t="s">
        <v>328</v>
      </c>
    </row>
    <row r="1243">
      <c r="A1243" s="23">
        <v>45889.91129986111</v>
      </c>
      <c r="B1243" s="3" t="s">
        <v>329</v>
      </c>
      <c r="C1243" s="3" t="s">
        <v>626</v>
      </c>
      <c r="D1243" s="3" t="s">
        <v>631</v>
      </c>
      <c r="E1243" s="3" t="s">
        <v>328</v>
      </c>
    </row>
    <row r="1244">
      <c r="A1244" s="23">
        <v>45889.91139075231</v>
      </c>
      <c r="B1244" s="3" t="s">
        <v>329</v>
      </c>
      <c r="C1244" s="3" t="s">
        <v>596</v>
      </c>
      <c r="D1244" s="3" t="s">
        <v>599</v>
      </c>
      <c r="E1244" s="3" t="s">
        <v>328</v>
      </c>
    </row>
    <row r="1245">
      <c r="A1245" s="23">
        <v>45889.91141270833</v>
      </c>
      <c r="B1245" s="3" t="s">
        <v>329</v>
      </c>
      <c r="C1245" s="3" t="s">
        <v>338</v>
      </c>
      <c r="D1245" s="3" t="s">
        <v>339</v>
      </c>
      <c r="E1245" s="3" t="s">
        <v>328</v>
      </c>
    </row>
    <row r="1246">
      <c r="A1246" s="23">
        <v>45889.91141541667</v>
      </c>
      <c r="B1246" s="3" t="s">
        <v>329</v>
      </c>
      <c r="C1246" s="3" t="s">
        <v>497</v>
      </c>
      <c r="D1246" s="3" t="s">
        <v>115</v>
      </c>
      <c r="E1246" s="3" t="s">
        <v>328</v>
      </c>
    </row>
    <row r="1247">
      <c r="A1247" s="23">
        <v>45889.91141891204</v>
      </c>
      <c r="B1247" s="3" t="s">
        <v>329</v>
      </c>
      <c r="C1247" s="3" t="s">
        <v>342</v>
      </c>
      <c r="D1247" s="3" t="s">
        <v>115</v>
      </c>
      <c r="E1247" s="3" t="s">
        <v>328</v>
      </c>
    </row>
    <row r="1248">
      <c r="A1248" s="23">
        <v>45889.9114215625</v>
      </c>
      <c r="B1248" s="3" t="s">
        <v>329</v>
      </c>
      <c r="C1248" s="3" t="s">
        <v>498</v>
      </c>
      <c r="D1248" s="3" t="s">
        <v>115</v>
      </c>
      <c r="E1248" s="3" t="s">
        <v>328</v>
      </c>
    </row>
    <row r="1249">
      <c r="A1249" s="23">
        <v>45889.911428657404</v>
      </c>
      <c r="B1249" s="3" t="s">
        <v>329</v>
      </c>
      <c r="C1249" s="3" t="s">
        <v>499</v>
      </c>
      <c r="D1249" s="3" t="s">
        <v>115</v>
      </c>
      <c r="E1249" s="3" t="s">
        <v>328</v>
      </c>
    </row>
    <row r="1250">
      <c r="A1250" s="23">
        <v>45889.911440717595</v>
      </c>
      <c r="B1250" s="3" t="s">
        <v>329</v>
      </c>
      <c r="C1250" s="3" t="s">
        <v>534</v>
      </c>
      <c r="D1250" s="3" t="s">
        <v>115</v>
      </c>
      <c r="E1250" s="3" t="s">
        <v>328</v>
      </c>
    </row>
    <row r="1251">
      <c r="A1251" s="23">
        <v>45889.9114446412</v>
      </c>
      <c r="B1251" s="3" t="s">
        <v>329</v>
      </c>
      <c r="C1251" s="3" t="s">
        <v>535</v>
      </c>
      <c r="D1251" s="3" t="s">
        <v>115</v>
      </c>
      <c r="E1251" s="3" t="s">
        <v>328</v>
      </c>
    </row>
    <row r="1252">
      <c r="A1252" s="23">
        <v>45889.91145966435</v>
      </c>
      <c r="B1252" s="3" t="s">
        <v>329</v>
      </c>
      <c r="C1252" s="3" t="s">
        <v>536</v>
      </c>
      <c r="D1252" s="3" t="s">
        <v>115</v>
      </c>
      <c r="E1252" s="3" t="s">
        <v>328</v>
      </c>
    </row>
    <row r="1253">
      <c r="A1253" s="23">
        <v>45889.911463171295</v>
      </c>
      <c r="B1253" s="3" t="s">
        <v>329</v>
      </c>
      <c r="C1253" s="3" t="s">
        <v>502</v>
      </c>
      <c r="D1253" s="3" t="s">
        <v>115</v>
      </c>
      <c r="E1253" s="3" t="s">
        <v>328</v>
      </c>
    </row>
    <row r="1254">
      <c r="A1254" s="23">
        <v>45889.91148255787</v>
      </c>
      <c r="B1254" s="3" t="s">
        <v>329</v>
      </c>
      <c r="C1254" s="3" t="s">
        <v>600</v>
      </c>
      <c r="D1254" s="3" t="s">
        <v>624</v>
      </c>
      <c r="E1254" s="3" t="s">
        <v>328</v>
      </c>
    </row>
    <row r="1255">
      <c r="A1255" s="23">
        <v>45889.91148517361</v>
      </c>
      <c r="B1255" s="3" t="s">
        <v>329</v>
      </c>
      <c r="C1255" s="3" t="str">
        <f>== Finance Automation V10 Complete ===</f>
        <v>#ERROR!</v>
      </c>
      <c r="D1255" s="3" t="s">
        <v>659</v>
      </c>
      <c r="E1255" s="3" t="s">
        <v>328</v>
      </c>
    </row>
    <row r="1256">
      <c r="A1256" s="23">
        <v>45889.93320321759</v>
      </c>
      <c r="B1256" s="3" t="s">
        <v>329</v>
      </c>
      <c r="C1256" s="3" t="str">
        <f>== Starting Full Finance Automation V10 ===</f>
        <v>#ERROR!</v>
      </c>
      <c r="D1256" s="3" t="s">
        <v>115</v>
      </c>
      <c r="E1256" s="3" t="s">
        <v>328</v>
      </c>
    </row>
    <row r="1257">
      <c r="A1257" s="23">
        <v>45889.93320616898</v>
      </c>
      <c r="B1257" s="3" t="s">
        <v>329</v>
      </c>
      <c r="C1257" s="3" t="s">
        <v>336</v>
      </c>
      <c r="D1257" s="3" t="s">
        <v>115</v>
      </c>
      <c r="E1257" s="3" t="s">
        <v>328</v>
      </c>
    </row>
    <row r="1258">
      <c r="A1258" s="23">
        <v>45889.93321908565</v>
      </c>
      <c r="B1258" s="3" t="s">
        <v>329</v>
      </c>
      <c r="C1258" s="3" t="s">
        <v>633</v>
      </c>
      <c r="D1258" s="3" t="s">
        <v>115</v>
      </c>
      <c r="E1258" s="3" t="s">
        <v>328</v>
      </c>
    </row>
    <row r="1259">
      <c r="A1259" s="23">
        <v>45889.93322315972</v>
      </c>
      <c r="B1259" s="3" t="s">
        <v>329</v>
      </c>
      <c r="C1259" s="3" t="s">
        <v>634</v>
      </c>
      <c r="D1259" s="3" t="s">
        <v>115</v>
      </c>
      <c r="E1259" s="3" t="s">
        <v>328</v>
      </c>
    </row>
    <row r="1260">
      <c r="A1260" s="23">
        <v>45889.93322690972</v>
      </c>
      <c r="B1260" s="3" t="s">
        <v>329</v>
      </c>
      <c r="C1260" s="3" t="s">
        <v>635</v>
      </c>
      <c r="D1260" s="3" t="s">
        <v>115</v>
      </c>
      <c r="E1260" s="3" t="s">
        <v>328</v>
      </c>
    </row>
    <row r="1261">
      <c r="A1261" s="23">
        <v>45889.93323174768</v>
      </c>
      <c r="B1261" s="3" t="s">
        <v>329</v>
      </c>
      <c r="C1261" s="3" t="s">
        <v>636</v>
      </c>
      <c r="D1261" s="3" t="s">
        <v>115</v>
      </c>
      <c r="E1261" s="3" t="s">
        <v>328</v>
      </c>
    </row>
    <row r="1262">
      <c r="A1262" s="23">
        <v>45889.93326034722</v>
      </c>
      <c r="B1262" s="3" t="s">
        <v>329</v>
      </c>
      <c r="C1262" s="3" t="s">
        <v>637</v>
      </c>
      <c r="D1262" s="3" t="s">
        <v>115</v>
      </c>
      <c r="E1262" s="3" t="s">
        <v>328</v>
      </c>
    </row>
    <row r="1263">
      <c r="A1263" s="23">
        <v>45889.933264293984</v>
      </c>
      <c r="B1263" s="3" t="s">
        <v>329</v>
      </c>
      <c r="C1263" s="3" t="s">
        <v>638</v>
      </c>
      <c r="D1263" s="3" t="s">
        <v>115</v>
      </c>
      <c r="E1263" s="3" t="s">
        <v>328</v>
      </c>
    </row>
    <row r="1264">
      <c r="A1264" s="23">
        <v>45889.933267789354</v>
      </c>
      <c r="B1264" s="3" t="s">
        <v>329</v>
      </c>
      <c r="C1264" s="3" t="s">
        <v>639</v>
      </c>
      <c r="D1264" s="3" t="s">
        <v>115</v>
      </c>
      <c r="E1264" s="3" t="s">
        <v>328</v>
      </c>
    </row>
    <row r="1265">
      <c r="A1265" s="23">
        <v>45889.93328532408</v>
      </c>
      <c r="B1265" s="3" t="s">
        <v>329</v>
      </c>
      <c r="C1265" s="3" t="s">
        <v>640</v>
      </c>
      <c r="D1265" s="3" t="s">
        <v>115</v>
      </c>
      <c r="E1265" s="3" t="s">
        <v>328</v>
      </c>
    </row>
    <row r="1266">
      <c r="A1266" s="23">
        <v>45889.93328803241</v>
      </c>
      <c r="B1266" s="3" t="s">
        <v>329</v>
      </c>
      <c r="C1266" s="3" t="s">
        <v>641</v>
      </c>
      <c r="D1266" s="3" t="s">
        <v>115</v>
      </c>
      <c r="E1266" s="3" t="s">
        <v>328</v>
      </c>
    </row>
    <row r="1267">
      <c r="A1267" s="23">
        <v>45889.93329162037</v>
      </c>
      <c r="B1267" s="3" t="s">
        <v>329</v>
      </c>
      <c r="C1267" s="3" t="s">
        <v>652</v>
      </c>
      <c r="D1267" s="3" t="s">
        <v>115</v>
      </c>
      <c r="E1267" s="3" t="s">
        <v>328</v>
      </c>
    </row>
    <row r="1268">
      <c r="A1268" s="23">
        <v>45889.93329565972</v>
      </c>
      <c r="B1268" s="3" t="s">
        <v>329</v>
      </c>
      <c r="C1268" s="3" t="s">
        <v>643</v>
      </c>
      <c r="D1268" s="3" t="s">
        <v>115</v>
      </c>
      <c r="E1268" s="3" t="s">
        <v>328</v>
      </c>
    </row>
    <row r="1269">
      <c r="A1269" s="23">
        <v>45889.93329931713</v>
      </c>
      <c r="B1269" s="3" t="s">
        <v>329</v>
      </c>
      <c r="C1269" s="3" t="s">
        <v>653</v>
      </c>
      <c r="D1269" s="3" t="s">
        <v>115</v>
      </c>
      <c r="E1269" s="3" t="s">
        <v>328</v>
      </c>
    </row>
    <row r="1270">
      <c r="A1270" s="23">
        <v>45889.933303275466</v>
      </c>
      <c r="B1270" s="3" t="s">
        <v>329</v>
      </c>
      <c r="C1270" s="3" t="s">
        <v>654</v>
      </c>
      <c r="D1270" s="3" t="s">
        <v>115</v>
      </c>
      <c r="E1270" s="3" t="s">
        <v>328</v>
      </c>
    </row>
    <row r="1271">
      <c r="A1271" s="23">
        <v>45889.933306886574</v>
      </c>
      <c r="B1271" s="3" t="s">
        <v>329</v>
      </c>
      <c r="C1271" s="3" t="s">
        <v>459</v>
      </c>
      <c r="D1271" s="3" t="s">
        <v>115</v>
      </c>
      <c r="E1271" s="3" t="s">
        <v>328</v>
      </c>
    </row>
    <row r="1272">
      <c r="A1272" s="23">
        <v>45889.933315601855</v>
      </c>
      <c r="B1272" s="3" t="s">
        <v>329</v>
      </c>
      <c r="C1272" s="3" t="s">
        <v>648</v>
      </c>
      <c r="D1272" s="3" t="s">
        <v>115</v>
      </c>
      <c r="E1272" s="3" t="s">
        <v>328</v>
      </c>
    </row>
    <row r="1273">
      <c r="A1273" s="23">
        <v>45889.93332869213</v>
      </c>
      <c r="B1273" s="3" t="s">
        <v>329</v>
      </c>
      <c r="C1273" s="3" t="s">
        <v>649</v>
      </c>
      <c r="D1273" s="3" t="s">
        <v>650</v>
      </c>
      <c r="E1273" s="3" t="s">
        <v>328</v>
      </c>
    </row>
    <row r="1274">
      <c r="A1274" s="23">
        <v>45889.93333118055</v>
      </c>
      <c r="B1274" s="3" t="s">
        <v>329</v>
      </c>
      <c r="C1274" s="3" t="s">
        <v>626</v>
      </c>
      <c r="D1274" s="3" t="s">
        <v>627</v>
      </c>
      <c r="E1274" s="3" t="s">
        <v>328</v>
      </c>
    </row>
    <row r="1275">
      <c r="A1275" s="23">
        <v>45889.93377625</v>
      </c>
      <c r="B1275" s="3" t="s">
        <v>329</v>
      </c>
      <c r="C1275" s="3" t="s">
        <v>596</v>
      </c>
      <c r="D1275" s="3" t="s">
        <v>609</v>
      </c>
      <c r="E1275" s="3" t="s">
        <v>328</v>
      </c>
    </row>
    <row r="1276">
      <c r="A1276" s="23">
        <v>45889.93379059028</v>
      </c>
      <c r="B1276" s="3" t="s">
        <v>329</v>
      </c>
      <c r="C1276" s="3" t="s">
        <v>649</v>
      </c>
      <c r="D1276" s="3" t="s">
        <v>655</v>
      </c>
      <c r="E1276" s="3" t="s">
        <v>328</v>
      </c>
    </row>
    <row r="1277">
      <c r="A1277" s="23">
        <v>45889.93379340278</v>
      </c>
      <c r="B1277" s="3" t="s">
        <v>329</v>
      </c>
      <c r="C1277" s="3" t="s">
        <v>626</v>
      </c>
      <c r="D1277" s="3" t="s">
        <v>629</v>
      </c>
      <c r="E1277" s="3" t="s">
        <v>328</v>
      </c>
    </row>
    <row r="1278">
      <c r="A1278" s="23">
        <v>45889.934051041666</v>
      </c>
      <c r="B1278" s="3" t="s">
        <v>329</v>
      </c>
      <c r="C1278" s="3" t="s">
        <v>596</v>
      </c>
      <c r="D1278" s="3" t="s">
        <v>595</v>
      </c>
      <c r="E1278" s="3" t="s">
        <v>328</v>
      </c>
    </row>
    <row r="1279">
      <c r="A1279" s="23">
        <v>45889.93406515046</v>
      </c>
      <c r="B1279" s="3" t="s">
        <v>329</v>
      </c>
      <c r="C1279" s="3" t="s">
        <v>649</v>
      </c>
      <c r="D1279" s="3" t="s">
        <v>656</v>
      </c>
      <c r="E1279" s="3" t="s">
        <v>328</v>
      </c>
    </row>
    <row r="1280">
      <c r="A1280" s="23">
        <v>45889.93406865741</v>
      </c>
      <c r="B1280" s="3" t="s">
        <v>329</v>
      </c>
      <c r="C1280" s="3" t="s">
        <v>626</v>
      </c>
      <c r="D1280" s="3" t="s">
        <v>630</v>
      </c>
      <c r="E1280" s="3" t="s">
        <v>328</v>
      </c>
    </row>
    <row r="1281">
      <c r="A1281" s="23">
        <v>45889.93419438657</v>
      </c>
      <c r="B1281" s="3" t="s">
        <v>329</v>
      </c>
      <c r="C1281" s="3" t="s">
        <v>596</v>
      </c>
      <c r="D1281" s="3" t="s">
        <v>597</v>
      </c>
      <c r="E1281" s="3" t="s">
        <v>328</v>
      </c>
    </row>
    <row r="1282">
      <c r="A1282" s="23">
        <v>45889.93442913194</v>
      </c>
      <c r="B1282" s="3" t="s">
        <v>329</v>
      </c>
      <c r="C1282" s="3" t="str">
        <f>== Starting Full Finance Automation V10 ===</f>
        <v>#ERROR!</v>
      </c>
      <c r="D1282" s="3" t="s">
        <v>115</v>
      </c>
      <c r="E1282" s="3" t="s">
        <v>328</v>
      </c>
    </row>
    <row r="1283">
      <c r="A1283" s="23">
        <v>45889.9344312037</v>
      </c>
      <c r="B1283" s="3" t="s">
        <v>329</v>
      </c>
      <c r="C1283" s="3" t="s">
        <v>336</v>
      </c>
      <c r="D1283" s="3" t="s">
        <v>115</v>
      </c>
      <c r="E1283" s="3" t="s">
        <v>328</v>
      </c>
    </row>
    <row r="1284">
      <c r="A1284" s="23">
        <v>45889.93443337963</v>
      </c>
      <c r="B1284" s="3" t="s">
        <v>329</v>
      </c>
      <c r="C1284" s="3" t="s">
        <v>633</v>
      </c>
      <c r="D1284" s="3" t="s">
        <v>115</v>
      </c>
      <c r="E1284" s="3" t="s">
        <v>328</v>
      </c>
    </row>
    <row r="1285">
      <c r="A1285" s="23">
        <v>45889.934436446754</v>
      </c>
      <c r="B1285" s="3" t="s">
        <v>329</v>
      </c>
      <c r="C1285" s="3" t="s">
        <v>634</v>
      </c>
      <c r="D1285" s="3" t="s">
        <v>115</v>
      </c>
      <c r="E1285" s="3" t="s">
        <v>328</v>
      </c>
    </row>
    <row r="1286">
      <c r="A1286" s="23">
        <v>45889.93444300926</v>
      </c>
      <c r="B1286" s="3" t="s">
        <v>329</v>
      </c>
      <c r="C1286" s="3" t="s">
        <v>635</v>
      </c>
      <c r="D1286" s="3" t="s">
        <v>115</v>
      </c>
      <c r="E1286" s="3" t="s">
        <v>328</v>
      </c>
    </row>
    <row r="1287">
      <c r="A1287" s="23">
        <v>45889.93445394676</v>
      </c>
      <c r="B1287" s="3" t="s">
        <v>329</v>
      </c>
      <c r="C1287" s="3" t="s">
        <v>636</v>
      </c>
      <c r="D1287" s="3" t="s">
        <v>115</v>
      </c>
      <c r="E1287" s="3" t="s">
        <v>328</v>
      </c>
    </row>
    <row r="1288">
      <c r="A1288" s="23">
        <v>45889.93445696759</v>
      </c>
      <c r="B1288" s="3" t="s">
        <v>329</v>
      </c>
      <c r="C1288" s="3" t="s">
        <v>637</v>
      </c>
      <c r="D1288" s="3" t="s">
        <v>115</v>
      </c>
      <c r="E1288" s="3" t="s">
        <v>328</v>
      </c>
    </row>
    <row r="1289">
      <c r="A1289" s="23">
        <v>45889.93445987269</v>
      </c>
      <c r="B1289" s="3" t="s">
        <v>329</v>
      </c>
      <c r="C1289" s="3" t="s">
        <v>638</v>
      </c>
      <c r="D1289" s="3" t="s">
        <v>115</v>
      </c>
      <c r="E1289" s="3" t="s">
        <v>328</v>
      </c>
    </row>
    <row r="1290">
      <c r="A1290" s="23">
        <v>45889.93446275463</v>
      </c>
      <c r="B1290" s="3" t="s">
        <v>329</v>
      </c>
      <c r="C1290" s="3" t="s">
        <v>639</v>
      </c>
      <c r="D1290" s="3" t="s">
        <v>115</v>
      </c>
      <c r="E1290" s="3" t="s">
        <v>328</v>
      </c>
    </row>
    <row r="1291">
      <c r="A1291" s="23">
        <v>45889.93447930556</v>
      </c>
      <c r="B1291" s="3" t="s">
        <v>329</v>
      </c>
      <c r="C1291" s="3" t="s">
        <v>640</v>
      </c>
      <c r="D1291" s="3" t="s">
        <v>115</v>
      </c>
      <c r="E1291" s="3" t="s">
        <v>328</v>
      </c>
    </row>
    <row r="1292">
      <c r="A1292" s="23">
        <v>45889.93448148148</v>
      </c>
      <c r="B1292" s="3" t="s">
        <v>329</v>
      </c>
      <c r="C1292" s="3" t="s">
        <v>641</v>
      </c>
      <c r="D1292" s="3" t="s">
        <v>115</v>
      </c>
      <c r="E1292" s="3" t="s">
        <v>328</v>
      </c>
    </row>
    <row r="1293">
      <c r="A1293" s="23">
        <v>45889.934484375</v>
      </c>
      <c r="B1293" s="3" t="s">
        <v>329</v>
      </c>
      <c r="C1293" s="3" t="s">
        <v>652</v>
      </c>
      <c r="D1293" s="3" t="s">
        <v>115</v>
      </c>
      <c r="E1293" s="3" t="s">
        <v>328</v>
      </c>
    </row>
    <row r="1294">
      <c r="A1294" s="23">
        <v>45889.934487465274</v>
      </c>
      <c r="B1294" s="3" t="s">
        <v>329</v>
      </c>
      <c r="C1294" s="3" t="s">
        <v>643</v>
      </c>
      <c r="D1294" s="3" t="s">
        <v>115</v>
      </c>
      <c r="E1294" s="3" t="s">
        <v>328</v>
      </c>
    </row>
    <row r="1295">
      <c r="A1295" s="23">
        <v>45889.93449453704</v>
      </c>
      <c r="B1295" s="3" t="s">
        <v>329</v>
      </c>
      <c r="C1295" s="3" t="s">
        <v>653</v>
      </c>
      <c r="D1295" s="3" t="s">
        <v>115</v>
      </c>
      <c r="E1295" s="3" t="s">
        <v>328</v>
      </c>
    </row>
    <row r="1296">
      <c r="A1296" s="23">
        <v>45889.93450116898</v>
      </c>
      <c r="B1296" s="3" t="s">
        <v>329</v>
      </c>
      <c r="C1296" s="3" t="s">
        <v>654</v>
      </c>
      <c r="D1296" s="3" t="s">
        <v>115</v>
      </c>
      <c r="E1296" s="3" t="s">
        <v>328</v>
      </c>
    </row>
    <row r="1297">
      <c r="A1297" s="23">
        <v>45889.93450344907</v>
      </c>
      <c r="B1297" s="3" t="s">
        <v>329</v>
      </c>
      <c r="C1297" s="3" t="s">
        <v>459</v>
      </c>
      <c r="D1297" s="3" t="s">
        <v>115</v>
      </c>
      <c r="E1297" s="3" t="s">
        <v>328</v>
      </c>
    </row>
    <row r="1298">
      <c r="A1298" s="23">
        <v>45889.93452725695</v>
      </c>
      <c r="B1298" s="3" t="s">
        <v>329</v>
      </c>
      <c r="C1298" s="3" t="s">
        <v>648</v>
      </c>
      <c r="D1298" s="3" t="s">
        <v>115</v>
      </c>
      <c r="E1298" s="3" t="s">
        <v>328</v>
      </c>
    </row>
    <row r="1299">
      <c r="A1299" s="23">
        <v>45889.934531203704</v>
      </c>
      <c r="B1299" s="3" t="s">
        <v>329</v>
      </c>
      <c r="C1299" s="3" t="s">
        <v>649</v>
      </c>
      <c r="D1299" s="3" t="s">
        <v>650</v>
      </c>
      <c r="E1299" s="3" t="s">
        <v>328</v>
      </c>
    </row>
    <row r="1300">
      <c r="A1300" s="23">
        <v>45889.934533472224</v>
      </c>
      <c r="B1300" s="3" t="s">
        <v>329</v>
      </c>
      <c r="C1300" s="3" t="s">
        <v>626</v>
      </c>
      <c r="D1300" s="3" t="s">
        <v>627</v>
      </c>
      <c r="E1300" s="3" t="s">
        <v>328</v>
      </c>
    </row>
    <row r="1301">
      <c r="A1301" s="23">
        <v>45889.93481200231</v>
      </c>
      <c r="B1301" s="3" t="s">
        <v>329</v>
      </c>
      <c r="C1301" s="3" t="s">
        <v>596</v>
      </c>
      <c r="D1301" s="3" t="s">
        <v>609</v>
      </c>
      <c r="E1301" s="3" t="s">
        <v>328</v>
      </c>
    </row>
    <row r="1302">
      <c r="A1302" s="23">
        <v>45889.934822951385</v>
      </c>
      <c r="B1302" s="3" t="s">
        <v>329</v>
      </c>
      <c r="C1302" s="3" t="s">
        <v>649</v>
      </c>
      <c r="D1302" s="3" t="s">
        <v>655</v>
      </c>
      <c r="E1302" s="3" t="s">
        <v>328</v>
      </c>
    </row>
    <row r="1303">
      <c r="A1303" s="23">
        <v>45889.93482496528</v>
      </c>
      <c r="B1303" s="3" t="s">
        <v>329</v>
      </c>
      <c r="C1303" s="3" t="s">
        <v>626</v>
      </c>
      <c r="D1303" s="3" t="s">
        <v>629</v>
      </c>
      <c r="E1303" s="3" t="s">
        <v>328</v>
      </c>
    </row>
    <row r="1304">
      <c r="A1304" s="23">
        <v>45889.93502960648</v>
      </c>
      <c r="B1304" s="3" t="s">
        <v>329</v>
      </c>
      <c r="C1304" s="3" t="s">
        <v>596</v>
      </c>
      <c r="D1304" s="3" t="s">
        <v>595</v>
      </c>
      <c r="E1304" s="3" t="s">
        <v>328</v>
      </c>
    </row>
    <row r="1305">
      <c r="A1305" s="23">
        <v>45889.935034166665</v>
      </c>
      <c r="B1305" s="3" t="s">
        <v>329</v>
      </c>
      <c r="C1305" s="3" t="s">
        <v>649</v>
      </c>
      <c r="D1305" s="3" t="s">
        <v>656</v>
      </c>
      <c r="E1305" s="3" t="s">
        <v>328</v>
      </c>
    </row>
    <row r="1306">
      <c r="A1306" s="23">
        <v>45889.93503634259</v>
      </c>
      <c r="B1306" s="3" t="s">
        <v>329</v>
      </c>
      <c r="C1306" s="3" t="s">
        <v>626</v>
      </c>
      <c r="D1306" s="3" t="s">
        <v>630</v>
      </c>
      <c r="E1306" s="3" t="s">
        <v>328</v>
      </c>
    </row>
    <row r="1307">
      <c r="A1307" s="23">
        <v>45889.93515152778</v>
      </c>
      <c r="B1307" s="3" t="s">
        <v>329</v>
      </c>
      <c r="C1307" s="3" t="s">
        <v>596</v>
      </c>
      <c r="D1307" s="3" t="s">
        <v>597</v>
      </c>
      <c r="E1307" s="3" t="s">
        <v>328</v>
      </c>
    </row>
    <row r="1308">
      <c r="A1308" s="23">
        <v>45889.93515716435</v>
      </c>
      <c r="B1308" s="3" t="s">
        <v>329</v>
      </c>
      <c r="C1308" s="3" t="s">
        <v>649</v>
      </c>
      <c r="D1308" s="3" t="s">
        <v>657</v>
      </c>
      <c r="E1308" s="3" t="s">
        <v>328</v>
      </c>
    </row>
    <row r="1309">
      <c r="A1309" s="23">
        <v>45889.935159444445</v>
      </c>
      <c r="B1309" s="3" t="s">
        <v>329</v>
      </c>
      <c r="C1309" s="3" t="s">
        <v>626</v>
      </c>
      <c r="D1309" s="3" t="s">
        <v>631</v>
      </c>
      <c r="E1309" s="3" t="s">
        <v>328</v>
      </c>
    </row>
    <row r="1310">
      <c r="A1310" s="23">
        <v>45889.93524818287</v>
      </c>
      <c r="B1310" s="3" t="s">
        <v>329</v>
      </c>
      <c r="C1310" s="3" t="s">
        <v>596</v>
      </c>
      <c r="D1310" s="3" t="s">
        <v>599</v>
      </c>
      <c r="E1310" s="3" t="s">
        <v>328</v>
      </c>
    </row>
    <row r="1311">
      <c r="A1311" s="23">
        <v>45889.93525689815</v>
      </c>
      <c r="B1311" s="3" t="s">
        <v>329</v>
      </c>
      <c r="C1311" s="3" t="s">
        <v>338</v>
      </c>
      <c r="D1311" s="3" t="s">
        <v>339</v>
      </c>
      <c r="E1311" s="3" t="s">
        <v>328</v>
      </c>
    </row>
    <row r="1312">
      <c r="A1312" s="23">
        <v>45889.935258831014</v>
      </c>
      <c r="B1312" s="3" t="s">
        <v>329</v>
      </c>
      <c r="C1312" s="3" t="s">
        <v>497</v>
      </c>
      <c r="D1312" s="3" t="s">
        <v>115</v>
      </c>
      <c r="E1312" s="3" t="s">
        <v>328</v>
      </c>
    </row>
    <row r="1313">
      <c r="A1313" s="23">
        <v>45889.93526252315</v>
      </c>
      <c r="B1313" s="3" t="s">
        <v>329</v>
      </c>
      <c r="C1313" s="3" t="s">
        <v>342</v>
      </c>
      <c r="D1313" s="3" t="s">
        <v>115</v>
      </c>
      <c r="E1313" s="3" t="s">
        <v>328</v>
      </c>
    </row>
    <row r="1314">
      <c r="A1314" s="23">
        <v>45889.935264699074</v>
      </c>
      <c r="B1314" s="3" t="s">
        <v>329</v>
      </c>
      <c r="C1314" s="3" t="s">
        <v>498</v>
      </c>
      <c r="D1314" s="3" t="s">
        <v>115</v>
      </c>
      <c r="E1314" s="3" t="s">
        <v>328</v>
      </c>
    </row>
    <row r="1315">
      <c r="A1315" s="23">
        <v>45889.93526753472</v>
      </c>
      <c r="B1315" s="3" t="s">
        <v>329</v>
      </c>
      <c r="C1315" s="3" t="s">
        <v>499</v>
      </c>
      <c r="D1315" s="3" t="s">
        <v>115</v>
      </c>
      <c r="E1315" s="3" t="s">
        <v>328</v>
      </c>
    </row>
    <row r="1316">
      <c r="A1316" s="23">
        <v>45889.93528880787</v>
      </c>
      <c r="B1316" s="3" t="s">
        <v>329</v>
      </c>
      <c r="C1316" s="3" t="s">
        <v>534</v>
      </c>
      <c r="D1316" s="3" t="s">
        <v>115</v>
      </c>
      <c r="E1316" s="3" t="s">
        <v>328</v>
      </c>
    </row>
    <row r="1317">
      <c r="A1317" s="23">
        <v>45889.93529248843</v>
      </c>
      <c r="B1317" s="3" t="s">
        <v>329</v>
      </c>
      <c r="C1317" s="3" t="s">
        <v>535</v>
      </c>
      <c r="D1317" s="3" t="s">
        <v>115</v>
      </c>
      <c r="E1317" s="3" t="s">
        <v>328</v>
      </c>
    </row>
    <row r="1318">
      <c r="A1318" s="23">
        <v>45889.93529445602</v>
      </c>
      <c r="B1318" s="3" t="s">
        <v>329</v>
      </c>
      <c r="C1318" s="3" t="s">
        <v>536</v>
      </c>
      <c r="D1318" s="3" t="s">
        <v>115</v>
      </c>
      <c r="E1318" s="3" t="s">
        <v>328</v>
      </c>
    </row>
    <row r="1319">
      <c r="A1319" s="23">
        <v>45889.935296435186</v>
      </c>
      <c r="B1319" s="3" t="s">
        <v>329</v>
      </c>
      <c r="C1319" s="3" t="s">
        <v>502</v>
      </c>
      <c r="D1319" s="3" t="s">
        <v>115</v>
      </c>
      <c r="E1319" s="3" t="s">
        <v>328</v>
      </c>
    </row>
    <row r="1320">
      <c r="A1320" s="23">
        <v>45889.9353240162</v>
      </c>
      <c r="B1320" s="3" t="s">
        <v>329</v>
      </c>
      <c r="C1320" s="3" t="s">
        <v>600</v>
      </c>
      <c r="D1320" s="3" t="s">
        <v>624</v>
      </c>
      <c r="E1320" s="3" t="s">
        <v>328</v>
      </c>
    </row>
    <row r="1321">
      <c r="A1321" s="23">
        <v>45889.93532614583</v>
      </c>
      <c r="B1321" s="3" t="s">
        <v>329</v>
      </c>
      <c r="C1321" s="3" t="str">
        <f>== Finance Automation V10 Complete ===</f>
        <v>#ERROR!</v>
      </c>
      <c r="D1321" s="3" t="s">
        <v>660</v>
      </c>
      <c r="E1321" s="3" t="s">
        <v>328</v>
      </c>
    </row>
    <row r="1322">
      <c r="A1322" s="23">
        <v>45889.988642048615</v>
      </c>
      <c r="B1322" s="3" t="s">
        <v>329</v>
      </c>
      <c r="C1322" s="3" t="str">
        <f>== DIAGNOSTIC CATEGORY LEARNING ANALYSIS ===</f>
        <v>#ERROR!</v>
      </c>
      <c r="D1322" s="3" t="s">
        <v>115</v>
      </c>
      <c r="E1322" s="3" t="s">
        <v>328</v>
      </c>
    </row>
    <row r="1323">
      <c r="A1323" s="23">
        <v>45889.98864675926</v>
      </c>
      <c r="B1323" s="3" t="s">
        <v>329</v>
      </c>
      <c r="C1323" s="3" t="s">
        <v>618</v>
      </c>
      <c r="D1323" s="3" t="s">
        <v>115</v>
      </c>
      <c r="E1323" s="3" t="s">
        <v>328</v>
      </c>
    </row>
    <row r="1324">
      <c r="A1324" s="23">
        <v>45889.988667893515</v>
      </c>
      <c r="B1324" s="3" t="s">
        <v>329</v>
      </c>
      <c r="C1324" s="3" t="s">
        <v>619</v>
      </c>
      <c r="D1324" s="3" t="s">
        <v>115</v>
      </c>
      <c r="E1324" s="3" t="s">
        <v>328</v>
      </c>
    </row>
    <row r="1325">
      <c r="A1325" s="23">
        <v>45889.98867211805</v>
      </c>
      <c r="B1325" s="3" t="s">
        <v>329</v>
      </c>
      <c r="C1325" s="3" t="str">
        <f>== CATEGORY LEARNING DIAGNOSTIC REPORT ===
📊 TRANSACTION OVERVIEW:
• Total Transactions: 18
• Categorized: 7 (38.9%)
• Uncategorized: 11 (61.1%)
🏪 MERCHANT ANALYSIS:
• Unique Merchants Found: 5
• Existing Category Mappings: 0
• Potential New Mappings: 0
• Low Frequency Merchants (1 transaction): 5
📂 CURRENT CATEGORY DISTRIBUTION:
• investment: 2 transactions
• Alcohol: 2 transactions
• Dining: 1 transactions
• Drug Store: 1 transactions
• Internal Transfer: 1 transactions
💡 RECOMMENDATIONS:
• You have 11 uncategorized transactions that could benefit from learning
• 5 merchants appear only once - need more transactions to learn patterns
• Consider processing more email transactions to improve learning accuracy</f>
        <v>#ERROR!</v>
      </c>
      <c r="D1325" s="3" t="s">
        <v>115</v>
      </c>
      <c r="E1325" s="3" t="s">
        <v>328</v>
      </c>
    </row>
    <row r="1326">
      <c r="A1326" s="23">
        <v>45890.02520325231</v>
      </c>
      <c r="B1326" s="3" t="s">
        <v>329</v>
      </c>
      <c r="C1326" s="3" t="str">
        <f>== Starting Full Finance Automation V10 ===</f>
        <v>#ERROR!</v>
      </c>
      <c r="D1326" s="3" t="s">
        <v>115</v>
      </c>
      <c r="E1326" s="3" t="s">
        <v>328</v>
      </c>
    </row>
    <row r="1327">
      <c r="A1327" s="23">
        <v>45890.02520685185</v>
      </c>
      <c r="B1327" s="3" t="s">
        <v>329</v>
      </c>
      <c r="C1327" s="3" t="s">
        <v>336</v>
      </c>
      <c r="D1327" s="3" t="s">
        <v>115</v>
      </c>
      <c r="E1327" s="3" t="s">
        <v>328</v>
      </c>
    </row>
    <row r="1328">
      <c r="A1328" s="23">
        <v>45890.02520859954</v>
      </c>
      <c r="B1328" s="3" t="s">
        <v>329</v>
      </c>
      <c r="C1328" s="3" t="s">
        <v>633</v>
      </c>
      <c r="D1328" s="3" t="s">
        <v>115</v>
      </c>
      <c r="E1328" s="3" t="s">
        <v>328</v>
      </c>
    </row>
    <row r="1329">
      <c r="A1329" s="23">
        <v>45890.02521108797</v>
      </c>
      <c r="B1329" s="3" t="s">
        <v>329</v>
      </c>
      <c r="C1329" s="3" t="s">
        <v>634</v>
      </c>
      <c r="D1329" s="3" t="s">
        <v>115</v>
      </c>
      <c r="E1329" s="3" t="s">
        <v>328</v>
      </c>
    </row>
    <row r="1330">
      <c r="A1330" s="23">
        <v>45890.02523076389</v>
      </c>
      <c r="B1330" s="3" t="s">
        <v>329</v>
      </c>
      <c r="C1330" s="3" t="s">
        <v>635</v>
      </c>
      <c r="D1330" s="3" t="s">
        <v>115</v>
      </c>
      <c r="E1330" s="3" t="s">
        <v>328</v>
      </c>
    </row>
    <row r="1331">
      <c r="A1331" s="23">
        <v>45890.02524508102</v>
      </c>
      <c r="B1331" s="3" t="s">
        <v>329</v>
      </c>
      <c r="C1331" s="3" t="s">
        <v>636</v>
      </c>
      <c r="D1331" s="3" t="s">
        <v>115</v>
      </c>
      <c r="E1331" s="3" t="s">
        <v>328</v>
      </c>
    </row>
    <row r="1332">
      <c r="A1332" s="23">
        <v>45890.02524752315</v>
      </c>
      <c r="B1332" s="3" t="s">
        <v>329</v>
      </c>
      <c r="C1332" s="3" t="s">
        <v>637</v>
      </c>
      <c r="D1332" s="3" t="s">
        <v>115</v>
      </c>
      <c r="E1332" s="3" t="s">
        <v>328</v>
      </c>
    </row>
    <row r="1333">
      <c r="A1333" s="23">
        <v>45890.025258622685</v>
      </c>
      <c r="B1333" s="3" t="s">
        <v>329</v>
      </c>
      <c r="C1333" s="3" t="s">
        <v>638</v>
      </c>
      <c r="D1333" s="3" t="s">
        <v>115</v>
      </c>
      <c r="E1333" s="3" t="s">
        <v>328</v>
      </c>
    </row>
    <row r="1334">
      <c r="A1334" s="23">
        <v>45890.02526144676</v>
      </c>
      <c r="B1334" s="3" t="s">
        <v>329</v>
      </c>
      <c r="C1334" s="3" t="s">
        <v>639</v>
      </c>
      <c r="D1334" s="3" t="s">
        <v>115</v>
      </c>
      <c r="E1334" s="3" t="s">
        <v>328</v>
      </c>
    </row>
    <row r="1335">
      <c r="A1335" s="23">
        <v>45890.02527702546</v>
      </c>
      <c r="B1335" s="3" t="s">
        <v>329</v>
      </c>
      <c r="C1335" s="3" t="s">
        <v>640</v>
      </c>
      <c r="D1335" s="3" t="s">
        <v>115</v>
      </c>
      <c r="E1335" s="3" t="s">
        <v>328</v>
      </c>
    </row>
    <row r="1336">
      <c r="A1336" s="23">
        <v>45890.025279050926</v>
      </c>
      <c r="B1336" s="3" t="s">
        <v>329</v>
      </c>
      <c r="C1336" s="3" t="s">
        <v>641</v>
      </c>
      <c r="D1336" s="3" t="s">
        <v>115</v>
      </c>
      <c r="E1336" s="3" t="s">
        <v>328</v>
      </c>
    </row>
    <row r="1337">
      <c r="A1337" s="23">
        <v>45890.025281504626</v>
      </c>
      <c r="B1337" s="3" t="s">
        <v>329</v>
      </c>
      <c r="C1337" s="3" t="s">
        <v>652</v>
      </c>
      <c r="D1337" s="3" t="s">
        <v>115</v>
      </c>
      <c r="E1337" s="3" t="s">
        <v>328</v>
      </c>
    </row>
    <row r="1338">
      <c r="A1338" s="23">
        <v>45890.0252922338</v>
      </c>
      <c r="B1338" s="3" t="s">
        <v>329</v>
      </c>
      <c r="C1338" s="3" t="s">
        <v>643</v>
      </c>
      <c r="D1338" s="3" t="s">
        <v>115</v>
      </c>
      <c r="E1338" s="3" t="s">
        <v>328</v>
      </c>
    </row>
    <row r="1339">
      <c r="A1339" s="23">
        <v>45890.02529456018</v>
      </c>
      <c r="B1339" s="3" t="s">
        <v>329</v>
      </c>
      <c r="C1339" s="3" t="s">
        <v>653</v>
      </c>
      <c r="D1339" s="3" t="s">
        <v>115</v>
      </c>
      <c r="E1339" s="3" t="s">
        <v>328</v>
      </c>
    </row>
    <row r="1340">
      <c r="A1340" s="23">
        <v>45890.02529775463</v>
      </c>
      <c r="B1340" s="3" t="s">
        <v>329</v>
      </c>
      <c r="C1340" s="3" t="s">
        <v>654</v>
      </c>
      <c r="D1340" s="3" t="s">
        <v>115</v>
      </c>
      <c r="E1340" s="3" t="s">
        <v>328</v>
      </c>
    </row>
    <row r="1341">
      <c r="A1341" s="23">
        <v>45890.02529939815</v>
      </c>
      <c r="B1341" s="3" t="s">
        <v>329</v>
      </c>
      <c r="C1341" s="3" t="s">
        <v>459</v>
      </c>
      <c r="D1341" s="3" t="s">
        <v>115</v>
      </c>
      <c r="E1341" s="3" t="s">
        <v>328</v>
      </c>
    </row>
    <row r="1342">
      <c r="A1342" s="23">
        <v>45890.02530594908</v>
      </c>
      <c r="B1342" s="3" t="s">
        <v>329</v>
      </c>
      <c r="C1342" s="3" t="s">
        <v>661</v>
      </c>
      <c r="D1342" s="3" t="s">
        <v>115</v>
      </c>
      <c r="E1342" s="3" t="s">
        <v>328</v>
      </c>
    </row>
    <row r="1343">
      <c r="A1343" s="23">
        <v>45890.02530923611</v>
      </c>
      <c r="B1343" s="3" t="s">
        <v>329</v>
      </c>
      <c r="C1343" s="3" t="s">
        <v>649</v>
      </c>
      <c r="D1343" s="3" t="s">
        <v>662</v>
      </c>
      <c r="E1343" s="3" t="s">
        <v>328</v>
      </c>
    </row>
    <row r="1344">
      <c r="A1344" s="23">
        <v>45890.025310937504</v>
      </c>
      <c r="B1344" s="3" t="s">
        <v>329</v>
      </c>
      <c r="C1344" s="3" t="s">
        <v>626</v>
      </c>
      <c r="D1344" s="3" t="s">
        <v>663</v>
      </c>
      <c r="E1344" s="3" t="s">
        <v>328</v>
      </c>
    </row>
    <row r="1345">
      <c r="A1345" s="23">
        <v>45890.025446851854</v>
      </c>
      <c r="B1345" s="3" t="s">
        <v>329</v>
      </c>
      <c r="C1345" s="3" t="s">
        <v>596</v>
      </c>
      <c r="D1345" s="3" t="s">
        <v>664</v>
      </c>
      <c r="E1345" s="3" t="s">
        <v>328</v>
      </c>
    </row>
    <row r="1346">
      <c r="A1346" s="23">
        <v>45890.025458819444</v>
      </c>
      <c r="B1346" s="3" t="s">
        <v>329</v>
      </c>
      <c r="C1346" s="3" t="s">
        <v>649</v>
      </c>
      <c r="D1346" s="3" t="s">
        <v>665</v>
      </c>
      <c r="E1346" s="3" t="s">
        <v>328</v>
      </c>
    </row>
    <row r="1347">
      <c r="A1347" s="23">
        <v>45890.025460613426</v>
      </c>
      <c r="B1347" s="3" t="s">
        <v>329</v>
      </c>
      <c r="C1347" s="3" t="s">
        <v>626</v>
      </c>
      <c r="D1347" s="3" t="s">
        <v>666</v>
      </c>
      <c r="E1347" s="3" t="s">
        <v>328</v>
      </c>
    </row>
    <row r="1348">
      <c r="A1348" s="23">
        <v>45890.02568759259</v>
      </c>
      <c r="B1348" s="3" t="s">
        <v>329</v>
      </c>
      <c r="C1348" s="3" t="s">
        <v>596</v>
      </c>
      <c r="D1348" s="3" t="s">
        <v>667</v>
      </c>
      <c r="E1348" s="3" t="s">
        <v>328</v>
      </c>
    </row>
    <row r="1349">
      <c r="A1349" s="23">
        <v>45890.02569108796</v>
      </c>
      <c r="B1349" s="3" t="s">
        <v>329</v>
      </c>
      <c r="C1349" s="3" t="s">
        <v>649</v>
      </c>
      <c r="D1349" s="3" t="s">
        <v>650</v>
      </c>
      <c r="E1349" s="3" t="s">
        <v>328</v>
      </c>
    </row>
    <row r="1350">
      <c r="A1350" s="23">
        <v>45890.025693055555</v>
      </c>
      <c r="B1350" s="3" t="s">
        <v>329</v>
      </c>
      <c r="C1350" s="3" t="s">
        <v>626</v>
      </c>
      <c r="D1350" s="3" t="s">
        <v>627</v>
      </c>
      <c r="E1350" s="3" t="s">
        <v>328</v>
      </c>
    </row>
    <row r="1351">
      <c r="A1351" s="23">
        <v>45890.02602528935</v>
      </c>
      <c r="B1351" s="3" t="s">
        <v>329</v>
      </c>
      <c r="C1351" s="3" t="s">
        <v>668</v>
      </c>
      <c r="D1351" s="3" t="s">
        <v>115</v>
      </c>
      <c r="E1351" s="3" t="s">
        <v>328</v>
      </c>
    </row>
    <row r="1352">
      <c r="A1352" s="23">
        <v>45890.02602866898</v>
      </c>
      <c r="B1352" s="3" t="s">
        <v>325</v>
      </c>
      <c r="C1352" s="3" t="s">
        <v>669</v>
      </c>
      <c r="D1352" s="3" t="s">
        <v>115</v>
      </c>
      <c r="E1352" s="3" t="s">
        <v>328</v>
      </c>
    </row>
    <row r="1353">
      <c r="A1353" s="23">
        <v>45890.026037986114</v>
      </c>
      <c r="B1353" s="3" t="s">
        <v>329</v>
      </c>
      <c r="C1353" s="3" t="s">
        <v>596</v>
      </c>
      <c r="D1353" s="3" t="s">
        <v>609</v>
      </c>
      <c r="E1353" s="3" t="s">
        <v>328</v>
      </c>
    </row>
    <row r="1354">
      <c r="A1354" s="23">
        <v>45890.0260570949</v>
      </c>
      <c r="B1354" s="3" t="s">
        <v>329</v>
      </c>
      <c r="C1354" s="3" t="s">
        <v>649</v>
      </c>
      <c r="D1354" s="3" t="s">
        <v>655</v>
      </c>
      <c r="E1354" s="3" t="s">
        <v>328</v>
      </c>
    </row>
    <row r="1355">
      <c r="A1355" s="23">
        <v>45890.026063067126</v>
      </c>
      <c r="B1355" s="3" t="s">
        <v>329</v>
      </c>
      <c r="C1355" s="3" t="s">
        <v>626</v>
      </c>
      <c r="D1355" s="3" t="s">
        <v>629</v>
      </c>
      <c r="E1355" s="3" t="s">
        <v>328</v>
      </c>
    </row>
    <row r="1356">
      <c r="A1356" s="23">
        <v>45890.02612556713</v>
      </c>
      <c r="B1356" s="3" t="s">
        <v>329</v>
      </c>
      <c r="C1356" s="3" t="s">
        <v>600</v>
      </c>
      <c r="D1356" s="3" t="s">
        <v>624</v>
      </c>
      <c r="E1356" s="3" t="s">
        <v>328</v>
      </c>
    </row>
    <row r="1357">
      <c r="A1357" s="23">
        <v>45890.02629554398</v>
      </c>
      <c r="B1357" s="3" t="s">
        <v>329</v>
      </c>
      <c r="C1357" s="3" t="s">
        <v>596</v>
      </c>
      <c r="D1357" s="3" t="s">
        <v>595</v>
      </c>
      <c r="E1357" s="3" t="s">
        <v>328</v>
      </c>
    </row>
    <row r="1358">
      <c r="A1358" s="23">
        <v>45890.02629892361</v>
      </c>
      <c r="B1358" s="3" t="s">
        <v>329</v>
      </c>
      <c r="C1358" s="3" t="s">
        <v>649</v>
      </c>
      <c r="D1358" s="3" t="s">
        <v>656</v>
      </c>
      <c r="E1358" s="3" t="s">
        <v>328</v>
      </c>
    </row>
    <row r="1359">
      <c r="A1359" s="23">
        <v>45890.026300763886</v>
      </c>
      <c r="B1359" s="3" t="s">
        <v>329</v>
      </c>
      <c r="C1359" s="3" t="s">
        <v>626</v>
      </c>
      <c r="D1359" s="3" t="s">
        <v>630</v>
      </c>
      <c r="E1359" s="3" t="s">
        <v>328</v>
      </c>
    </row>
    <row r="1360">
      <c r="A1360" s="23">
        <v>45890.02637653935</v>
      </c>
      <c r="B1360" s="3" t="s">
        <v>329</v>
      </c>
      <c r="C1360" s="3" t="s">
        <v>633</v>
      </c>
      <c r="D1360" s="3" t="s">
        <v>115</v>
      </c>
      <c r="E1360" s="3" t="s">
        <v>328</v>
      </c>
    </row>
    <row r="1361">
      <c r="A1361" s="23">
        <v>45890.026379560186</v>
      </c>
      <c r="B1361" s="3" t="s">
        <v>329</v>
      </c>
      <c r="C1361" s="3" t="s">
        <v>634</v>
      </c>
      <c r="D1361" s="3" t="s">
        <v>115</v>
      </c>
      <c r="E1361" s="3" t="s">
        <v>328</v>
      </c>
    </row>
    <row r="1362">
      <c r="A1362" s="23">
        <v>45890.0263829051</v>
      </c>
      <c r="B1362" s="3" t="s">
        <v>329</v>
      </c>
      <c r="C1362" s="3" t="s">
        <v>635</v>
      </c>
      <c r="D1362" s="3" t="s">
        <v>115</v>
      </c>
      <c r="E1362" s="3" t="s">
        <v>328</v>
      </c>
    </row>
    <row r="1363">
      <c r="A1363" s="23">
        <v>45890.02638476852</v>
      </c>
      <c r="B1363" s="3" t="s">
        <v>329</v>
      </c>
      <c r="C1363" s="3" t="s">
        <v>596</v>
      </c>
      <c r="D1363" s="3" t="s">
        <v>597</v>
      </c>
      <c r="E1363" s="3" t="s">
        <v>328</v>
      </c>
    </row>
    <row r="1364">
      <c r="A1364" s="23">
        <v>45890.02638755787</v>
      </c>
      <c r="B1364" s="3" t="s">
        <v>329</v>
      </c>
      <c r="C1364" s="3" t="s">
        <v>636</v>
      </c>
      <c r="D1364" s="3" t="s">
        <v>115</v>
      </c>
      <c r="E1364" s="3" t="s">
        <v>328</v>
      </c>
    </row>
    <row r="1365">
      <c r="A1365" s="23">
        <v>45890.026390960644</v>
      </c>
      <c r="B1365" s="3" t="s">
        <v>329</v>
      </c>
      <c r="C1365" s="3" t="s">
        <v>649</v>
      </c>
      <c r="D1365" s="3" t="s">
        <v>657</v>
      </c>
      <c r="E1365" s="3" t="s">
        <v>328</v>
      </c>
    </row>
    <row r="1366">
      <c r="A1366" s="23">
        <v>45890.02639121527</v>
      </c>
      <c r="B1366" s="3" t="s">
        <v>329</v>
      </c>
      <c r="C1366" s="3" t="s">
        <v>637</v>
      </c>
      <c r="D1366" s="3" t="s">
        <v>115</v>
      </c>
      <c r="E1366" s="3" t="s">
        <v>328</v>
      </c>
    </row>
    <row r="1367">
      <c r="A1367" s="23">
        <v>45890.02639416666</v>
      </c>
      <c r="B1367" s="3" t="s">
        <v>329</v>
      </c>
      <c r="C1367" s="3" t="s">
        <v>626</v>
      </c>
      <c r="D1367" s="3" t="s">
        <v>631</v>
      </c>
      <c r="E1367" s="3" t="s">
        <v>328</v>
      </c>
    </row>
    <row r="1368">
      <c r="A1368" s="23">
        <v>45890.02639594907</v>
      </c>
      <c r="B1368" s="3" t="s">
        <v>329</v>
      </c>
      <c r="C1368" s="3" t="s">
        <v>638</v>
      </c>
      <c r="D1368" s="3" t="s">
        <v>115</v>
      </c>
      <c r="E1368" s="3" t="s">
        <v>328</v>
      </c>
    </row>
    <row r="1369">
      <c r="A1369" s="23">
        <v>45890.02640001157</v>
      </c>
      <c r="B1369" s="3" t="s">
        <v>329</v>
      </c>
      <c r="C1369" s="3" t="s">
        <v>639</v>
      </c>
      <c r="D1369" s="3" t="s">
        <v>115</v>
      </c>
      <c r="E1369" s="3" t="s">
        <v>328</v>
      </c>
    </row>
    <row r="1370">
      <c r="A1370" s="23">
        <v>45890.026404097225</v>
      </c>
      <c r="B1370" s="3" t="s">
        <v>329</v>
      </c>
      <c r="C1370" s="3" t="s">
        <v>651</v>
      </c>
      <c r="D1370" s="3" t="s">
        <v>115</v>
      </c>
      <c r="E1370" s="3" t="s">
        <v>328</v>
      </c>
    </row>
    <row r="1371">
      <c r="A1371" s="23">
        <v>45890.02640815973</v>
      </c>
      <c r="B1371" s="3" t="s">
        <v>329</v>
      </c>
      <c r="C1371" s="3" t="s">
        <v>652</v>
      </c>
      <c r="D1371" s="3" t="s">
        <v>115</v>
      </c>
      <c r="E1371" s="3" t="s">
        <v>328</v>
      </c>
    </row>
    <row r="1372">
      <c r="A1372" s="23">
        <v>45890.02641756945</v>
      </c>
      <c r="B1372" s="3" t="s">
        <v>329</v>
      </c>
      <c r="C1372" s="3" t="s">
        <v>643</v>
      </c>
      <c r="D1372" s="3" t="s">
        <v>115</v>
      </c>
      <c r="E1372" s="3" t="s">
        <v>328</v>
      </c>
    </row>
    <row r="1373">
      <c r="A1373" s="23">
        <v>45890.02642081019</v>
      </c>
      <c r="B1373" s="3" t="s">
        <v>329</v>
      </c>
      <c r="C1373" s="3" t="s">
        <v>653</v>
      </c>
      <c r="D1373" s="3" t="s">
        <v>115</v>
      </c>
      <c r="E1373" s="3" t="s">
        <v>328</v>
      </c>
    </row>
    <row r="1374">
      <c r="A1374" s="23">
        <v>45890.026424317126</v>
      </c>
      <c r="B1374" s="3" t="s">
        <v>329</v>
      </c>
      <c r="C1374" s="3" t="s">
        <v>654</v>
      </c>
      <c r="D1374" s="3" t="s">
        <v>115</v>
      </c>
      <c r="E1374" s="3" t="s">
        <v>328</v>
      </c>
    </row>
    <row r="1375">
      <c r="A1375" s="23">
        <v>45890.026426446755</v>
      </c>
      <c r="B1375" s="3" t="s">
        <v>329</v>
      </c>
      <c r="C1375" s="3" t="s">
        <v>459</v>
      </c>
      <c r="D1375" s="3" t="s">
        <v>115</v>
      </c>
      <c r="E1375" s="3" t="s">
        <v>328</v>
      </c>
    </row>
    <row r="1376">
      <c r="A1376" s="23">
        <v>45890.02643511574</v>
      </c>
      <c r="B1376" s="3" t="s">
        <v>329</v>
      </c>
      <c r="C1376" s="3" t="s">
        <v>661</v>
      </c>
      <c r="D1376" s="3" t="s">
        <v>115</v>
      </c>
      <c r="E1376" s="3" t="s">
        <v>328</v>
      </c>
    </row>
    <row r="1377">
      <c r="A1377" s="23">
        <v>45890.02644188657</v>
      </c>
      <c r="B1377" s="3" t="s">
        <v>329</v>
      </c>
      <c r="C1377" s="3" t="s">
        <v>649</v>
      </c>
      <c r="D1377" s="3" t="s">
        <v>662</v>
      </c>
      <c r="E1377" s="3" t="s">
        <v>328</v>
      </c>
    </row>
    <row r="1378">
      <c r="A1378" s="23">
        <v>45890.02644478009</v>
      </c>
      <c r="B1378" s="3" t="s">
        <v>329</v>
      </c>
      <c r="C1378" s="3" t="s">
        <v>626</v>
      </c>
      <c r="D1378" s="3" t="s">
        <v>663</v>
      </c>
      <c r="E1378" s="3" t="s">
        <v>328</v>
      </c>
    </row>
    <row r="1379">
      <c r="A1379" s="23">
        <v>45890.02655155092</v>
      </c>
      <c r="B1379" s="3" t="s">
        <v>329</v>
      </c>
      <c r="C1379" s="3" t="s">
        <v>596</v>
      </c>
      <c r="D1379" s="3" t="s">
        <v>599</v>
      </c>
      <c r="E1379" s="3" t="s">
        <v>328</v>
      </c>
    </row>
    <row r="1380">
      <c r="A1380" s="23">
        <v>45890.02655980324</v>
      </c>
      <c r="B1380" s="3" t="s">
        <v>329</v>
      </c>
      <c r="C1380" s="3" t="s">
        <v>338</v>
      </c>
      <c r="D1380" s="3" t="s">
        <v>339</v>
      </c>
      <c r="E1380" s="3" t="s">
        <v>328</v>
      </c>
    </row>
    <row r="1381">
      <c r="A1381" s="23">
        <v>45890.026561990744</v>
      </c>
      <c r="B1381" s="3" t="s">
        <v>329</v>
      </c>
      <c r="C1381" s="3" t="s">
        <v>497</v>
      </c>
      <c r="D1381" s="3" t="s">
        <v>115</v>
      </c>
      <c r="E1381" s="3" t="s">
        <v>328</v>
      </c>
    </row>
    <row r="1382">
      <c r="A1382" s="23">
        <v>45890.02656465278</v>
      </c>
      <c r="B1382" s="3" t="s">
        <v>329</v>
      </c>
      <c r="C1382" s="3" t="s">
        <v>342</v>
      </c>
      <c r="D1382" s="3" t="s">
        <v>115</v>
      </c>
      <c r="E1382" s="3" t="s">
        <v>328</v>
      </c>
    </row>
    <row r="1383">
      <c r="A1383" s="23">
        <v>45890.02658571759</v>
      </c>
      <c r="B1383" s="3" t="s">
        <v>329</v>
      </c>
      <c r="C1383" s="3" t="s">
        <v>498</v>
      </c>
      <c r="D1383" s="3" t="s">
        <v>115</v>
      </c>
      <c r="E1383" s="3" t="s">
        <v>328</v>
      </c>
    </row>
    <row r="1384">
      <c r="A1384" s="23">
        <v>45890.02658820602</v>
      </c>
      <c r="B1384" s="3" t="s">
        <v>329</v>
      </c>
      <c r="C1384" s="3" t="s">
        <v>499</v>
      </c>
      <c r="D1384" s="3" t="s">
        <v>115</v>
      </c>
      <c r="E1384" s="3" t="s">
        <v>328</v>
      </c>
    </row>
    <row r="1385">
      <c r="A1385" s="23">
        <v>45890.02659796296</v>
      </c>
      <c r="B1385" s="3" t="s">
        <v>329</v>
      </c>
      <c r="C1385" s="3" t="s">
        <v>596</v>
      </c>
      <c r="D1385" s="3" t="s">
        <v>664</v>
      </c>
      <c r="E1385" s="3" t="s">
        <v>328</v>
      </c>
    </row>
    <row r="1386">
      <c r="A1386" s="23">
        <v>45890.02659974537</v>
      </c>
      <c r="B1386" s="3" t="s">
        <v>329</v>
      </c>
      <c r="C1386" s="3" t="s">
        <v>534</v>
      </c>
      <c r="D1386" s="3" t="s">
        <v>115</v>
      </c>
      <c r="E1386" s="3" t="s">
        <v>328</v>
      </c>
    </row>
    <row r="1387">
      <c r="A1387" s="23">
        <v>45890.0266030787</v>
      </c>
      <c r="B1387" s="3" t="s">
        <v>329</v>
      </c>
      <c r="C1387" s="3" t="s">
        <v>649</v>
      </c>
      <c r="D1387" s="3" t="s">
        <v>665</v>
      </c>
      <c r="E1387" s="3" t="s">
        <v>328</v>
      </c>
    </row>
    <row r="1388">
      <c r="A1388" s="23">
        <v>45890.026605127314</v>
      </c>
      <c r="B1388" s="3" t="s">
        <v>329</v>
      </c>
      <c r="C1388" s="3" t="s">
        <v>535</v>
      </c>
      <c r="D1388" s="3" t="s">
        <v>115</v>
      </c>
      <c r="E1388" s="3" t="s">
        <v>328</v>
      </c>
    </row>
    <row r="1389">
      <c r="A1389" s="23">
        <v>45890.02660519676</v>
      </c>
      <c r="B1389" s="3" t="s">
        <v>329</v>
      </c>
      <c r="C1389" s="3" t="s">
        <v>626</v>
      </c>
      <c r="D1389" s="3" t="s">
        <v>666</v>
      </c>
      <c r="E1389" s="3" t="s">
        <v>328</v>
      </c>
    </row>
    <row r="1390">
      <c r="A1390" s="23">
        <v>45890.02660693287</v>
      </c>
      <c r="B1390" s="3" t="s">
        <v>329</v>
      </c>
      <c r="C1390" s="3" t="s">
        <v>536</v>
      </c>
      <c r="D1390" s="3" t="s">
        <v>115</v>
      </c>
      <c r="E1390" s="3" t="s">
        <v>328</v>
      </c>
    </row>
    <row r="1391">
      <c r="A1391" s="23">
        <v>45890.02660982639</v>
      </c>
      <c r="B1391" s="3" t="s">
        <v>329</v>
      </c>
      <c r="C1391" s="3" t="s">
        <v>502</v>
      </c>
      <c r="D1391" s="3" t="s">
        <v>115</v>
      </c>
      <c r="E1391" s="3" t="s">
        <v>328</v>
      </c>
    </row>
    <row r="1392">
      <c r="A1392" s="23">
        <v>45890.02663865741</v>
      </c>
      <c r="B1392" s="3" t="s">
        <v>329</v>
      </c>
      <c r="C1392" s="3" t="s">
        <v>600</v>
      </c>
      <c r="D1392" s="3" t="s">
        <v>624</v>
      </c>
      <c r="E1392" s="3" t="s">
        <v>328</v>
      </c>
    </row>
    <row r="1393">
      <c r="A1393" s="23">
        <v>45890.02664231481</v>
      </c>
      <c r="B1393" s="3" t="s">
        <v>329</v>
      </c>
      <c r="C1393" s="3" t="str">
        <f>== Finance Automation V10 Complete ===</f>
        <v>#ERROR!</v>
      </c>
      <c r="D1393" s="3" t="s">
        <v>670</v>
      </c>
      <c r="E1393" s="3" t="s">
        <v>328</v>
      </c>
    </row>
    <row r="1394">
      <c r="A1394" s="23">
        <v>45890.02680634259</v>
      </c>
      <c r="B1394" s="3" t="s">
        <v>329</v>
      </c>
      <c r="C1394" s="3" t="s">
        <v>596</v>
      </c>
      <c r="D1394" s="3" t="s">
        <v>667</v>
      </c>
      <c r="E1394" s="3" t="s">
        <v>328</v>
      </c>
    </row>
    <row r="1395">
      <c r="A1395" s="23">
        <v>45890.02681054398</v>
      </c>
      <c r="B1395" s="3" t="s">
        <v>329</v>
      </c>
      <c r="C1395" s="3" t="s">
        <v>649</v>
      </c>
      <c r="D1395" s="3" t="s">
        <v>650</v>
      </c>
      <c r="E1395" s="3" t="s">
        <v>328</v>
      </c>
    </row>
    <row r="1396">
      <c r="A1396" s="23">
        <v>45890.02681333333</v>
      </c>
      <c r="B1396" s="3" t="s">
        <v>329</v>
      </c>
      <c r="C1396" s="3" t="s">
        <v>626</v>
      </c>
      <c r="D1396" s="3" t="s">
        <v>627</v>
      </c>
      <c r="E1396" s="3" t="s">
        <v>328</v>
      </c>
    </row>
    <row r="1397">
      <c r="A1397" s="23">
        <v>45890.02709853009</v>
      </c>
      <c r="B1397" s="3" t="s">
        <v>329</v>
      </c>
      <c r="C1397" s="3" t="s">
        <v>596</v>
      </c>
      <c r="D1397" s="3" t="s">
        <v>609</v>
      </c>
      <c r="E1397" s="3" t="s">
        <v>328</v>
      </c>
    </row>
    <row r="1398">
      <c r="A1398" s="23">
        <v>45890.02712068287</v>
      </c>
      <c r="B1398" s="3" t="s">
        <v>329</v>
      </c>
      <c r="C1398" s="3" t="s">
        <v>649</v>
      </c>
      <c r="D1398" s="3" t="s">
        <v>655</v>
      </c>
      <c r="E1398" s="3" t="s">
        <v>328</v>
      </c>
    </row>
    <row r="1399">
      <c r="A1399" s="23">
        <v>45890.02712278935</v>
      </c>
      <c r="B1399" s="3" t="s">
        <v>329</v>
      </c>
      <c r="C1399" s="3" t="s">
        <v>626</v>
      </c>
      <c r="D1399" s="3" t="s">
        <v>629</v>
      </c>
      <c r="E1399" s="3" t="s">
        <v>328</v>
      </c>
    </row>
    <row r="1400">
      <c r="A1400" s="23">
        <v>45890.02730671296</v>
      </c>
      <c r="B1400" s="3" t="s">
        <v>329</v>
      </c>
      <c r="C1400" s="3" t="s">
        <v>596</v>
      </c>
      <c r="D1400" s="3" t="s">
        <v>595</v>
      </c>
      <c r="E1400" s="3" t="s">
        <v>328</v>
      </c>
    </row>
    <row r="1401">
      <c r="A1401" s="23">
        <v>45890.027311122685</v>
      </c>
      <c r="B1401" s="3" t="s">
        <v>329</v>
      </c>
      <c r="C1401" s="3" t="s">
        <v>649</v>
      </c>
      <c r="D1401" s="3" t="s">
        <v>656</v>
      </c>
      <c r="E1401" s="3" t="s">
        <v>328</v>
      </c>
    </row>
    <row r="1402">
      <c r="A1402" s="23">
        <v>45890.027313425926</v>
      </c>
      <c r="B1402" s="3" t="s">
        <v>329</v>
      </c>
      <c r="C1402" s="3" t="s">
        <v>626</v>
      </c>
      <c r="D1402" s="3" t="s">
        <v>630</v>
      </c>
      <c r="E1402" s="3" t="s">
        <v>328</v>
      </c>
    </row>
    <row r="1403">
      <c r="A1403" s="23">
        <v>45890.02740939815</v>
      </c>
      <c r="B1403" s="3" t="s">
        <v>329</v>
      </c>
      <c r="C1403" s="3" t="s">
        <v>596</v>
      </c>
      <c r="D1403" s="3" t="s">
        <v>597</v>
      </c>
      <c r="E1403" s="3" t="s">
        <v>328</v>
      </c>
    </row>
    <row r="1404">
      <c r="A1404" s="23">
        <v>45890.0274153125</v>
      </c>
      <c r="B1404" s="3" t="s">
        <v>329</v>
      </c>
      <c r="C1404" s="3" t="s">
        <v>649</v>
      </c>
      <c r="D1404" s="3" t="s">
        <v>657</v>
      </c>
      <c r="E1404" s="3" t="s">
        <v>328</v>
      </c>
    </row>
    <row r="1405">
      <c r="A1405" s="23">
        <v>45890.02741724537</v>
      </c>
      <c r="B1405" s="3" t="s">
        <v>329</v>
      </c>
      <c r="C1405" s="3" t="s">
        <v>626</v>
      </c>
      <c r="D1405" s="3" t="s">
        <v>631</v>
      </c>
      <c r="E1405" s="3" t="s">
        <v>328</v>
      </c>
    </row>
    <row r="1406">
      <c r="A1406" s="23">
        <v>45890.02753229167</v>
      </c>
      <c r="B1406" s="3" t="s">
        <v>329</v>
      </c>
      <c r="C1406" s="3" t="s">
        <v>596</v>
      </c>
      <c r="D1406" s="3" t="s">
        <v>599</v>
      </c>
      <c r="E1406" s="3" t="s">
        <v>328</v>
      </c>
    </row>
    <row r="1407">
      <c r="A1407" s="23">
        <v>45890.02754983796</v>
      </c>
      <c r="B1407" s="3" t="s">
        <v>329</v>
      </c>
      <c r="C1407" s="3" t="s">
        <v>338</v>
      </c>
      <c r="D1407" s="3" t="s">
        <v>339</v>
      </c>
      <c r="E1407" s="3" t="s">
        <v>328</v>
      </c>
    </row>
    <row r="1408">
      <c r="A1408" s="23">
        <v>45890.02818366898</v>
      </c>
      <c r="B1408" s="3" t="s">
        <v>329</v>
      </c>
      <c r="C1408" s="3" t="s">
        <v>484</v>
      </c>
      <c r="D1408" s="3" t="s">
        <v>115</v>
      </c>
      <c r="E1408" s="3" t="s">
        <v>328</v>
      </c>
    </row>
    <row r="1409">
      <c r="A1409" s="23">
        <v>45890.02818756945</v>
      </c>
      <c r="B1409" s="3" t="s">
        <v>329</v>
      </c>
      <c r="C1409" s="3" t="s">
        <v>516</v>
      </c>
      <c r="D1409" s="3" t="s">
        <v>115</v>
      </c>
      <c r="E1409" s="3" t="s">
        <v>328</v>
      </c>
    </row>
    <row r="1410">
      <c r="A1410" s="23">
        <v>45890.028192453705</v>
      </c>
      <c r="B1410" s="3" t="s">
        <v>329</v>
      </c>
      <c r="C1410" s="3" t="s">
        <v>517</v>
      </c>
      <c r="D1410" s="3" t="s">
        <v>115</v>
      </c>
      <c r="E1410" s="3" t="s">
        <v>328</v>
      </c>
    </row>
    <row r="1411">
      <c r="A1411" s="23">
        <v>45890.02819784722</v>
      </c>
      <c r="B1411" s="3" t="s">
        <v>329</v>
      </c>
      <c r="C1411" s="3" t="s">
        <v>518</v>
      </c>
      <c r="D1411" s="3" t="s">
        <v>115</v>
      </c>
      <c r="E1411" s="3" t="s">
        <v>328</v>
      </c>
    </row>
    <row r="1412">
      <c r="A1412" s="23">
        <v>45890.06115546296</v>
      </c>
      <c r="B1412" s="3" t="s">
        <v>329</v>
      </c>
      <c r="C1412" s="3" t="s">
        <v>484</v>
      </c>
      <c r="D1412" s="3" t="s">
        <v>115</v>
      </c>
      <c r="E1412" s="3" t="s">
        <v>328</v>
      </c>
    </row>
    <row r="1413">
      <c r="A1413" s="23">
        <v>45890.0611584375</v>
      </c>
      <c r="B1413" s="3" t="s">
        <v>329</v>
      </c>
      <c r="C1413" s="3" t="s">
        <v>516</v>
      </c>
      <c r="D1413" s="3" t="s">
        <v>115</v>
      </c>
      <c r="E1413" s="3" t="s">
        <v>328</v>
      </c>
    </row>
    <row r="1414">
      <c r="A1414" s="23">
        <v>45890.06116236111</v>
      </c>
      <c r="B1414" s="3" t="s">
        <v>329</v>
      </c>
      <c r="C1414" s="3" t="s">
        <v>517</v>
      </c>
      <c r="D1414" s="3" t="s">
        <v>115</v>
      </c>
      <c r="E1414" s="3" t="s">
        <v>328</v>
      </c>
    </row>
    <row r="1415">
      <c r="A1415" s="23">
        <v>45890.06117434028</v>
      </c>
      <c r="B1415" s="3" t="s">
        <v>329</v>
      </c>
      <c r="C1415" s="3" t="s">
        <v>518</v>
      </c>
      <c r="D1415" s="3" t="s">
        <v>115</v>
      </c>
      <c r="E1415" s="3" t="s">
        <v>328</v>
      </c>
    </row>
    <row r="1416">
      <c r="A1416" s="23">
        <v>45890.062602060185</v>
      </c>
      <c r="B1416" s="3" t="s">
        <v>329</v>
      </c>
      <c r="C1416" s="3" t="s">
        <v>668</v>
      </c>
      <c r="D1416" s="3" t="s">
        <v>115</v>
      </c>
      <c r="E1416" s="3" t="s">
        <v>328</v>
      </c>
    </row>
    <row r="1417">
      <c r="A1417" s="23">
        <v>45890.0626274074</v>
      </c>
      <c r="B1417" s="3" t="s">
        <v>329</v>
      </c>
      <c r="C1417" s="3" t="s">
        <v>671</v>
      </c>
      <c r="D1417" s="3" t="s">
        <v>672</v>
      </c>
      <c r="E1417" s="3" t="s">
        <v>328</v>
      </c>
    </row>
    <row r="1418">
      <c r="A1418" s="23">
        <v>45890.06299409722</v>
      </c>
      <c r="B1418" s="3" t="s">
        <v>329</v>
      </c>
      <c r="C1418" s="3" t="s">
        <v>668</v>
      </c>
      <c r="D1418" s="3" t="s">
        <v>115</v>
      </c>
      <c r="E1418" s="3" t="s">
        <v>328</v>
      </c>
    </row>
    <row r="1419">
      <c r="A1419" s="23">
        <v>45890.06302686343</v>
      </c>
      <c r="B1419" s="3" t="s">
        <v>329</v>
      </c>
      <c r="C1419" s="3" t="s">
        <v>671</v>
      </c>
      <c r="D1419" s="3" t="s">
        <v>672</v>
      </c>
      <c r="E1419" s="3" t="s">
        <v>328</v>
      </c>
    </row>
    <row r="1420">
      <c r="A1420" s="23">
        <v>45890.06483710648</v>
      </c>
      <c r="B1420" s="3" t="s">
        <v>329</v>
      </c>
      <c r="C1420" s="3" t="s">
        <v>600</v>
      </c>
      <c r="D1420" s="3" t="s">
        <v>624</v>
      </c>
      <c r="E1420" s="3" t="s">
        <v>328</v>
      </c>
    </row>
    <row r="1421">
      <c r="A1421" s="23">
        <v>45890.06490902777</v>
      </c>
      <c r="B1421" s="3" t="s">
        <v>329</v>
      </c>
      <c r="C1421" s="3" t="str">
        <f>== Starting Full Finance Automation V10 ===</f>
        <v>#ERROR!</v>
      </c>
      <c r="D1421" s="3" t="s">
        <v>115</v>
      </c>
      <c r="E1421" s="3" t="s">
        <v>328</v>
      </c>
    </row>
    <row r="1422">
      <c r="A1422" s="23">
        <v>45890.0649111574</v>
      </c>
      <c r="B1422" s="3" t="s">
        <v>329</v>
      </c>
      <c r="C1422" s="3" t="s">
        <v>336</v>
      </c>
      <c r="D1422" s="3" t="s">
        <v>115</v>
      </c>
      <c r="E1422" s="3" t="s">
        <v>328</v>
      </c>
    </row>
    <row r="1423">
      <c r="A1423" s="23">
        <v>45890.06491342593</v>
      </c>
      <c r="B1423" s="3" t="s">
        <v>329</v>
      </c>
      <c r="C1423" s="3" t="s">
        <v>633</v>
      </c>
      <c r="D1423" s="3" t="s">
        <v>115</v>
      </c>
      <c r="E1423" s="3" t="s">
        <v>328</v>
      </c>
    </row>
    <row r="1424">
      <c r="A1424" s="23">
        <v>45890.064916041665</v>
      </c>
      <c r="B1424" s="3" t="s">
        <v>329</v>
      </c>
      <c r="C1424" s="3" t="s">
        <v>634</v>
      </c>
      <c r="D1424" s="3" t="s">
        <v>115</v>
      </c>
      <c r="E1424" s="3" t="s">
        <v>328</v>
      </c>
    </row>
    <row r="1425">
      <c r="A1425" s="23">
        <v>45890.064918923614</v>
      </c>
      <c r="B1425" s="3" t="s">
        <v>329</v>
      </c>
      <c r="C1425" s="3" t="s">
        <v>635</v>
      </c>
      <c r="D1425" s="3" t="s">
        <v>115</v>
      </c>
      <c r="E1425" s="3" t="s">
        <v>328</v>
      </c>
    </row>
    <row r="1426">
      <c r="A1426" s="23">
        <v>45890.06492143519</v>
      </c>
      <c r="B1426" s="3" t="s">
        <v>329</v>
      </c>
      <c r="C1426" s="3" t="s">
        <v>636</v>
      </c>
      <c r="D1426" s="3" t="s">
        <v>115</v>
      </c>
      <c r="E1426" s="3" t="s">
        <v>328</v>
      </c>
    </row>
    <row r="1427">
      <c r="A1427" s="23">
        <v>45890.06493644676</v>
      </c>
      <c r="B1427" s="3" t="s">
        <v>329</v>
      </c>
      <c r="C1427" s="3" t="s">
        <v>637</v>
      </c>
      <c r="D1427" s="3" t="s">
        <v>115</v>
      </c>
      <c r="E1427" s="3" t="s">
        <v>328</v>
      </c>
    </row>
    <row r="1428">
      <c r="A1428" s="23">
        <v>45890.06493898148</v>
      </c>
      <c r="B1428" s="3" t="s">
        <v>329</v>
      </c>
      <c r="C1428" s="3" t="s">
        <v>638</v>
      </c>
      <c r="D1428" s="3" t="s">
        <v>115</v>
      </c>
      <c r="E1428" s="3" t="s">
        <v>328</v>
      </c>
    </row>
    <row r="1429">
      <c r="A1429" s="23">
        <v>45890.06494222222</v>
      </c>
      <c r="B1429" s="3" t="s">
        <v>329</v>
      </c>
      <c r="C1429" s="3" t="s">
        <v>639</v>
      </c>
      <c r="D1429" s="3" t="s">
        <v>115</v>
      </c>
      <c r="E1429" s="3" t="s">
        <v>328</v>
      </c>
    </row>
    <row r="1430">
      <c r="A1430" s="23">
        <v>45890.064945081016</v>
      </c>
      <c r="B1430" s="3" t="s">
        <v>329</v>
      </c>
      <c r="C1430" s="3" t="s">
        <v>652</v>
      </c>
      <c r="D1430" s="3" t="s">
        <v>115</v>
      </c>
      <c r="E1430" s="3" t="s">
        <v>328</v>
      </c>
    </row>
    <row r="1431">
      <c r="A1431" s="23">
        <v>45890.06494758102</v>
      </c>
      <c r="B1431" s="3" t="s">
        <v>329</v>
      </c>
      <c r="C1431" s="3" t="s">
        <v>643</v>
      </c>
      <c r="D1431" s="3" t="s">
        <v>115</v>
      </c>
      <c r="E1431" s="3" t="s">
        <v>328</v>
      </c>
    </row>
    <row r="1432">
      <c r="A1432" s="23">
        <v>45890.064950300926</v>
      </c>
      <c r="B1432" s="3" t="s">
        <v>329</v>
      </c>
      <c r="C1432" s="3" t="s">
        <v>653</v>
      </c>
      <c r="D1432" s="3" t="s">
        <v>115</v>
      </c>
      <c r="E1432" s="3" t="s">
        <v>328</v>
      </c>
    </row>
    <row r="1433">
      <c r="A1433" s="23">
        <v>45890.064953043984</v>
      </c>
      <c r="B1433" s="3" t="s">
        <v>329</v>
      </c>
      <c r="C1433" s="3" t="s">
        <v>654</v>
      </c>
      <c r="D1433" s="3" t="s">
        <v>115</v>
      </c>
      <c r="E1433" s="3" t="s">
        <v>328</v>
      </c>
    </row>
    <row r="1434">
      <c r="A1434" s="23">
        <v>45890.06495496527</v>
      </c>
      <c r="B1434" s="3" t="s">
        <v>329</v>
      </c>
      <c r="C1434" s="3" t="s">
        <v>459</v>
      </c>
      <c r="D1434" s="3" t="s">
        <v>115</v>
      </c>
      <c r="E1434" s="3" t="s">
        <v>328</v>
      </c>
    </row>
    <row r="1435">
      <c r="A1435" s="23">
        <v>45890.06496120371</v>
      </c>
      <c r="B1435" s="3" t="s">
        <v>329</v>
      </c>
      <c r="C1435" s="3" t="s">
        <v>661</v>
      </c>
      <c r="D1435" s="3" t="s">
        <v>115</v>
      </c>
      <c r="E1435" s="3" t="s">
        <v>328</v>
      </c>
    </row>
    <row r="1436">
      <c r="A1436" s="23">
        <v>45890.06496467593</v>
      </c>
      <c r="B1436" s="3" t="s">
        <v>329</v>
      </c>
      <c r="C1436" s="3" t="s">
        <v>649</v>
      </c>
      <c r="D1436" s="3" t="s">
        <v>662</v>
      </c>
      <c r="E1436" s="3" t="s">
        <v>328</v>
      </c>
    </row>
    <row r="1437">
      <c r="A1437" s="23">
        <v>45890.06496991898</v>
      </c>
      <c r="B1437" s="3" t="s">
        <v>329</v>
      </c>
      <c r="C1437" s="3" t="s">
        <v>626</v>
      </c>
      <c r="D1437" s="3" t="s">
        <v>663</v>
      </c>
      <c r="E1437" s="3" t="s">
        <v>328</v>
      </c>
    </row>
    <row r="1438">
      <c r="A1438" s="23">
        <v>45890.06511640047</v>
      </c>
      <c r="B1438" s="3" t="s">
        <v>329</v>
      </c>
      <c r="C1438" s="3" t="s">
        <v>596</v>
      </c>
      <c r="D1438" s="3" t="s">
        <v>664</v>
      </c>
      <c r="E1438" s="3" t="s">
        <v>328</v>
      </c>
    </row>
    <row r="1439">
      <c r="A1439" s="23">
        <v>45890.06512020833</v>
      </c>
      <c r="B1439" s="3" t="s">
        <v>329</v>
      </c>
      <c r="C1439" s="3" t="s">
        <v>649</v>
      </c>
      <c r="D1439" s="3" t="s">
        <v>665</v>
      </c>
      <c r="E1439" s="3" t="s">
        <v>328</v>
      </c>
    </row>
    <row r="1440">
      <c r="A1440" s="23">
        <v>45890.06512216435</v>
      </c>
      <c r="B1440" s="3" t="s">
        <v>329</v>
      </c>
      <c r="C1440" s="3" t="s">
        <v>626</v>
      </c>
      <c r="D1440" s="3" t="s">
        <v>666</v>
      </c>
      <c r="E1440" s="3" t="s">
        <v>328</v>
      </c>
    </row>
    <row r="1441">
      <c r="A1441" s="23">
        <v>45890.065282118056</v>
      </c>
      <c r="B1441" s="3" t="s">
        <v>329</v>
      </c>
      <c r="C1441" s="3" t="s">
        <v>596</v>
      </c>
      <c r="D1441" s="3" t="s">
        <v>667</v>
      </c>
      <c r="E1441" s="3" t="s">
        <v>328</v>
      </c>
    </row>
    <row r="1442">
      <c r="A1442" s="23">
        <v>45890.06528616898</v>
      </c>
      <c r="B1442" s="3" t="s">
        <v>329</v>
      </c>
      <c r="C1442" s="3" t="s">
        <v>649</v>
      </c>
      <c r="D1442" s="3" t="s">
        <v>650</v>
      </c>
      <c r="E1442" s="3" t="s">
        <v>328</v>
      </c>
    </row>
    <row r="1443">
      <c r="A1443" s="23">
        <v>45890.06528809028</v>
      </c>
      <c r="B1443" s="3" t="s">
        <v>329</v>
      </c>
      <c r="C1443" s="3" t="s">
        <v>626</v>
      </c>
      <c r="D1443" s="3" t="s">
        <v>627</v>
      </c>
      <c r="E1443" s="3" t="s">
        <v>328</v>
      </c>
    </row>
    <row r="1444">
      <c r="A1444" s="23">
        <v>45890.06561741898</v>
      </c>
      <c r="B1444" s="3" t="s">
        <v>329</v>
      </c>
      <c r="C1444" s="3" t="s">
        <v>596</v>
      </c>
      <c r="D1444" s="3" t="s">
        <v>609</v>
      </c>
      <c r="E1444" s="3" t="s">
        <v>328</v>
      </c>
    </row>
    <row r="1445">
      <c r="A1445" s="23">
        <v>45890.0656294213</v>
      </c>
      <c r="B1445" s="3" t="s">
        <v>329</v>
      </c>
      <c r="C1445" s="3" t="s">
        <v>649</v>
      </c>
      <c r="D1445" s="3" t="s">
        <v>655</v>
      </c>
      <c r="E1445" s="3" t="s">
        <v>328</v>
      </c>
    </row>
    <row r="1446">
      <c r="A1446" s="23">
        <v>45890.0656368287</v>
      </c>
      <c r="B1446" s="3" t="s">
        <v>329</v>
      </c>
      <c r="C1446" s="3" t="s">
        <v>626</v>
      </c>
      <c r="D1446" s="3" t="s">
        <v>629</v>
      </c>
      <c r="E1446" s="3" t="s">
        <v>328</v>
      </c>
    </row>
    <row r="1447">
      <c r="A1447" s="23">
        <v>45890.06577594907</v>
      </c>
      <c r="B1447" s="3" t="s">
        <v>325</v>
      </c>
      <c r="C1447" s="3" t="s">
        <v>113</v>
      </c>
      <c r="D1447" s="3" t="s">
        <v>673</v>
      </c>
      <c r="E1447" s="3" t="s">
        <v>328</v>
      </c>
    </row>
    <row r="1448">
      <c r="A1448" s="23">
        <v>45890.06577891204</v>
      </c>
      <c r="B1448" s="3" t="s">
        <v>325</v>
      </c>
      <c r="C1448" s="3" t="s">
        <v>116</v>
      </c>
      <c r="D1448" s="3" t="s">
        <v>674</v>
      </c>
      <c r="E1448" s="3" t="s">
        <v>328</v>
      </c>
    </row>
    <row r="1449">
      <c r="A1449" s="23">
        <v>45890.06588793981</v>
      </c>
      <c r="B1449" s="3" t="s">
        <v>329</v>
      </c>
      <c r="C1449" s="3" t="s">
        <v>596</v>
      </c>
      <c r="D1449" s="3" t="s">
        <v>595</v>
      </c>
      <c r="E1449" s="3" t="s">
        <v>328</v>
      </c>
    </row>
    <row r="1450">
      <c r="A1450" s="23">
        <v>45890.065891875</v>
      </c>
      <c r="B1450" s="3" t="s">
        <v>329</v>
      </c>
      <c r="C1450" s="3" t="s">
        <v>649</v>
      </c>
      <c r="D1450" s="3" t="s">
        <v>656</v>
      </c>
      <c r="E1450" s="3" t="s">
        <v>328</v>
      </c>
    </row>
    <row r="1451">
      <c r="A1451" s="23">
        <v>45890.06589508102</v>
      </c>
      <c r="B1451" s="3" t="s">
        <v>329</v>
      </c>
      <c r="C1451" s="3" t="s">
        <v>626</v>
      </c>
      <c r="D1451" s="3" t="s">
        <v>630</v>
      </c>
      <c r="E1451" s="3" t="s">
        <v>328</v>
      </c>
    </row>
    <row r="1452">
      <c r="A1452" s="23">
        <v>45890.06601553241</v>
      </c>
      <c r="B1452" s="3" t="s">
        <v>329</v>
      </c>
      <c r="C1452" s="3" t="s">
        <v>596</v>
      </c>
      <c r="D1452" s="3" t="s">
        <v>597</v>
      </c>
      <c r="E1452" s="3" t="s">
        <v>328</v>
      </c>
    </row>
    <row r="1453">
      <c r="A1453" s="23">
        <v>45890.066021122686</v>
      </c>
      <c r="B1453" s="3" t="s">
        <v>329</v>
      </c>
      <c r="C1453" s="3" t="s">
        <v>649</v>
      </c>
      <c r="D1453" s="3" t="s">
        <v>657</v>
      </c>
      <c r="E1453" s="3" t="s">
        <v>328</v>
      </c>
    </row>
    <row r="1454">
      <c r="A1454" s="23">
        <v>45890.06602408565</v>
      </c>
      <c r="B1454" s="3" t="s">
        <v>329</v>
      </c>
      <c r="C1454" s="3" t="s">
        <v>626</v>
      </c>
      <c r="D1454" s="3" t="s">
        <v>631</v>
      </c>
      <c r="E1454" s="3" t="s">
        <v>328</v>
      </c>
    </row>
    <row r="1455">
      <c r="A1455" s="23">
        <v>45890.06613530093</v>
      </c>
      <c r="B1455" s="3" t="s">
        <v>329</v>
      </c>
      <c r="C1455" s="3" t="s">
        <v>596</v>
      </c>
      <c r="D1455" s="3" t="s">
        <v>599</v>
      </c>
      <c r="E1455" s="3" t="s">
        <v>328</v>
      </c>
    </row>
    <row r="1456">
      <c r="A1456" s="23">
        <v>45890.06614252315</v>
      </c>
      <c r="B1456" s="3" t="s">
        <v>329</v>
      </c>
      <c r="C1456" s="3" t="s">
        <v>338</v>
      </c>
      <c r="D1456" s="3" t="s">
        <v>339</v>
      </c>
      <c r="E1456" s="3" t="s">
        <v>328</v>
      </c>
    </row>
    <row r="1457">
      <c r="A1457" s="23">
        <v>45890.06614444444</v>
      </c>
      <c r="B1457" s="3" t="s">
        <v>329</v>
      </c>
      <c r="C1457" s="3" t="s">
        <v>497</v>
      </c>
      <c r="D1457" s="3" t="s">
        <v>115</v>
      </c>
      <c r="E1457" s="3" t="s">
        <v>328</v>
      </c>
    </row>
    <row r="1458">
      <c r="A1458" s="23">
        <v>45890.066152534724</v>
      </c>
      <c r="B1458" s="3" t="s">
        <v>329</v>
      </c>
      <c r="C1458" s="3" t="s">
        <v>342</v>
      </c>
      <c r="D1458" s="3" t="s">
        <v>115</v>
      </c>
      <c r="E1458" s="3" t="s">
        <v>328</v>
      </c>
    </row>
    <row r="1459">
      <c r="A1459" s="23">
        <v>45890.06615837963</v>
      </c>
      <c r="B1459" s="3" t="s">
        <v>329</v>
      </c>
      <c r="C1459" s="3" t="s">
        <v>498</v>
      </c>
      <c r="D1459" s="3" t="s">
        <v>115</v>
      </c>
      <c r="E1459" s="3" t="s">
        <v>328</v>
      </c>
    </row>
    <row r="1460">
      <c r="A1460" s="23">
        <v>45890.06616673611</v>
      </c>
      <c r="B1460" s="3" t="s">
        <v>329</v>
      </c>
      <c r="C1460" s="3" t="s">
        <v>499</v>
      </c>
      <c r="D1460" s="3" t="s">
        <v>115</v>
      </c>
      <c r="E1460" s="3" t="s">
        <v>328</v>
      </c>
    </row>
    <row r="1461">
      <c r="A1461" s="23">
        <v>45890.06617269676</v>
      </c>
      <c r="B1461" s="3" t="s">
        <v>329</v>
      </c>
      <c r="C1461" s="3" t="s">
        <v>534</v>
      </c>
      <c r="D1461" s="3" t="s">
        <v>115</v>
      </c>
      <c r="E1461" s="3" t="s">
        <v>328</v>
      </c>
    </row>
    <row r="1462">
      <c r="A1462" s="23">
        <v>45890.06617619213</v>
      </c>
      <c r="B1462" s="3" t="s">
        <v>329</v>
      </c>
      <c r="C1462" s="3" t="s">
        <v>535</v>
      </c>
      <c r="D1462" s="3" t="s">
        <v>115</v>
      </c>
      <c r="E1462" s="3" t="s">
        <v>328</v>
      </c>
    </row>
    <row r="1463">
      <c r="A1463" s="23">
        <v>45890.06617844907</v>
      </c>
      <c r="B1463" s="3" t="s">
        <v>329</v>
      </c>
      <c r="C1463" s="3" t="s">
        <v>536</v>
      </c>
      <c r="D1463" s="3" t="s">
        <v>115</v>
      </c>
      <c r="E1463" s="3" t="s">
        <v>328</v>
      </c>
    </row>
    <row r="1464">
      <c r="A1464" s="23">
        <v>45890.066180497684</v>
      </c>
      <c r="B1464" s="3" t="s">
        <v>329</v>
      </c>
      <c r="C1464" s="3" t="s">
        <v>502</v>
      </c>
      <c r="D1464" s="3" t="s">
        <v>115</v>
      </c>
      <c r="E1464" s="3" t="s">
        <v>328</v>
      </c>
    </row>
    <row r="1465">
      <c r="A1465" s="23">
        <v>45890.066221030094</v>
      </c>
      <c r="B1465" s="3" t="s">
        <v>329</v>
      </c>
      <c r="C1465" s="3" t="s">
        <v>600</v>
      </c>
      <c r="D1465" s="3" t="s">
        <v>624</v>
      </c>
      <c r="E1465" s="3" t="s">
        <v>328</v>
      </c>
    </row>
    <row r="1466">
      <c r="A1466" s="23">
        <v>45890.0662232176</v>
      </c>
      <c r="B1466" s="3" t="s">
        <v>329</v>
      </c>
      <c r="C1466" s="3" t="str">
        <f>== Finance Automation V10 Complete ===</f>
        <v>#ERROR!</v>
      </c>
      <c r="D1466" s="3" t="s">
        <v>675</v>
      </c>
      <c r="E1466" s="3" t="s">
        <v>328</v>
      </c>
    </row>
    <row r="1467">
      <c r="A1467" s="23">
        <v>45890.067275231486</v>
      </c>
      <c r="B1467" s="3" t="s">
        <v>329</v>
      </c>
      <c r="C1467" s="3" t="str">
        <f>== STARTING HISTORICAL INTEGRATION TEST ===</f>
        <v>#ERROR!</v>
      </c>
      <c r="D1467" s="3" t="s">
        <v>115</v>
      </c>
      <c r="E1467" s="3" t="s">
        <v>328</v>
      </c>
    </row>
    <row r="1468">
      <c r="A1468" s="23">
        <v>45890.06728</v>
      </c>
      <c r="B1468" s="3" t="s">
        <v>329</v>
      </c>
      <c r="C1468" s="3" t="s">
        <v>676</v>
      </c>
      <c r="D1468" s="3" t="s">
        <v>677</v>
      </c>
      <c r="E1468" s="3" t="s">
        <v>328</v>
      </c>
    </row>
    <row r="1469">
      <c r="A1469" s="23">
        <v>45890.067283888886</v>
      </c>
      <c r="B1469" s="3" t="s">
        <v>329</v>
      </c>
      <c r="C1469" s="3" t="s">
        <v>678</v>
      </c>
      <c r="D1469" s="3" t="s">
        <v>115</v>
      </c>
      <c r="E1469" s="3" t="s">
        <v>328</v>
      </c>
    </row>
    <row r="1470">
      <c r="A1470" s="23">
        <v>45890.06728689815</v>
      </c>
      <c r="B1470" s="3" t="s">
        <v>329</v>
      </c>
      <c r="C1470" s="3" t="s">
        <v>679</v>
      </c>
      <c r="D1470" s="3" t="s">
        <v>115</v>
      </c>
      <c r="E1470" s="3" t="s">
        <v>328</v>
      </c>
    </row>
    <row r="1471">
      <c r="A1471" s="23">
        <v>45890.06728990741</v>
      </c>
      <c r="B1471" s="3" t="s">
        <v>329</v>
      </c>
      <c r="C1471" s="3" t="s">
        <v>680</v>
      </c>
      <c r="D1471" s="3" t="s">
        <v>115</v>
      </c>
      <c r="E1471" s="3" t="s">
        <v>328</v>
      </c>
    </row>
    <row r="1472">
      <c r="A1472" s="23">
        <v>45890.06729309028</v>
      </c>
      <c r="B1472" s="3" t="s">
        <v>329</v>
      </c>
      <c r="C1472" s="3" t="s">
        <v>681</v>
      </c>
      <c r="D1472" s="3" t="s">
        <v>115</v>
      </c>
      <c r="E1472" s="3" t="s">
        <v>328</v>
      </c>
    </row>
    <row r="1473">
      <c r="A1473" s="23">
        <v>45890.06729653935</v>
      </c>
      <c r="B1473" s="3" t="s">
        <v>329</v>
      </c>
      <c r="C1473" s="3" t="s">
        <v>682</v>
      </c>
      <c r="D1473" s="3" t="s">
        <v>115</v>
      </c>
      <c r="E1473" s="3" t="s">
        <v>328</v>
      </c>
    </row>
    <row r="1474">
      <c r="A1474" s="23">
        <v>45890.067299918985</v>
      </c>
      <c r="B1474" s="3" t="s">
        <v>329</v>
      </c>
      <c r="C1474" s="3" t="s">
        <v>683</v>
      </c>
      <c r="D1474" s="3" t="s">
        <v>684</v>
      </c>
      <c r="E1474" s="3" t="s">
        <v>328</v>
      </c>
    </row>
    <row r="1475">
      <c r="A1475" s="23">
        <v>45890.06730311342</v>
      </c>
      <c r="B1475" s="3" t="s">
        <v>329</v>
      </c>
      <c r="C1475" s="3" t="s">
        <v>685</v>
      </c>
      <c r="D1475" s="3" t="s">
        <v>686</v>
      </c>
      <c r="E1475" s="3" t="s">
        <v>328</v>
      </c>
    </row>
    <row r="1476">
      <c r="A1476" s="23">
        <v>45890.06730642361</v>
      </c>
      <c r="B1476" s="3" t="s">
        <v>329</v>
      </c>
      <c r="C1476" s="3" t="s">
        <v>687</v>
      </c>
      <c r="D1476" s="3" t="s">
        <v>688</v>
      </c>
      <c r="E1476" s="3" t="s">
        <v>328</v>
      </c>
    </row>
    <row r="1477">
      <c r="A1477" s="23">
        <v>45890.067319016205</v>
      </c>
      <c r="B1477" s="3" t="s">
        <v>329</v>
      </c>
      <c r="C1477" s="3" t="s">
        <v>689</v>
      </c>
      <c r="D1477" s="3" t="s">
        <v>690</v>
      </c>
      <c r="E1477" s="3" t="s">
        <v>328</v>
      </c>
    </row>
    <row r="1478">
      <c r="A1478" s="23">
        <v>45890.067322268515</v>
      </c>
      <c r="B1478" s="3" t="s">
        <v>329</v>
      </c>
      <c r="C1478" s="3" t="s">
        <v>691</v>
      </c>
      <c r="D1478" s="3" t="s">
        <v>686</v>
      </c>
      <c r="E1478" s="3" t="s">
        <v>328</v>
      </c>
    </row>
    <row r="1479">
      <c r="A1479" s="23">
        <v>45890.06732538194</v>
      </c>
      <c r="B1479" s="3" t="s">
        <v>329</v>
      </c>
      <c r="C1479" s="3" t="s">
        <v>692</v>
      </c>
      <c r="D1479" s="3" t="s">
        <v>693</v>
      </c>
      <c r="E1479" s="3" t="s">
        <v>328</v>
      </c>
    </row>
    <row r="1480">
      <c r="A1480" s="23">
        <v>45890.067332349536</v>
      </c>
      <c r="B1480" s="3" t="s">
        <v>329</v>
      </c>
      <c r="C1480" s="3" t="s">
        <v>694</v>
      </c>
      <c r="D1480" s="3" t="s">
        <v>695</v>
      </c>
      <c r="E1480" s="3" t="s">
        <v>328</v>
      </c>
    </row>
    <row r="1481">
      <c r="A1481" s="23">
        <v>45890.06733568287</v>
      </c>
      <c r="B1481" s="3" t="s">
        <v>329</v>
      </c>
      <c r="C1481" s="3" t="s">
        <v>696</v>
      </c>
      <c r="D1481" s="3" t="s">
        <v>697</v>
      </c>
      <c r="E1481" s="3" t="s">
        <v>328</v>
      </c>
    </row>
    <row r="1482">
      <c r="A1482" s="23">
        <v>45890.06733957176</v>
      </c>
      <c r="B1482" s="3" t="s">
        <v>329</v>
      </c>
      <c r="C1482" s="3" t="str">
        <f>== HISTORICAL INTEGRATION TEST COMPLETED ===</f>
        <v>#ERROR!</v>
      </c>
      <c r="D1482" s="3" t="s">
        <v>115</v>
      </c>
      <c r="E1482" s="3" t="s">
        <v>328</v>
      </c>
    </row>
    <row r="1483">
      <c r="A1483" s="23">
        <v>45890.06956201389</v>
      </c>
      <c r="B1483" s="3" t="s">
        <v>329</v>
      </c>
      <c r="C1483" s="3" t="s">
        <v>484</v>
      </c>
      <c r="D1483" s="3" t="s">
        <v>115</v>
      </c>
      <c r="E1483" s="3" t="s">
        <v>328</v>
      </c>
    </row>
    <row r="1484">
      <c r="A1484" s="23">
        <v>45890.069567847226</v>
      </c>
      <c r="B1484" s="3" t="s">
        <v>329</v>
      </c>
      <c r="C1484" s="3" t="s">
        <v>516</v>
      </c>
      <c r="D1484" s="3" t="s">
        <v>115</v>
      </c>
      <c r="E1484" s="3" t="s">
        <v>328</v>
      </c>
    </row>
    <row r="1485">
      <c r="A1485" s="23">
        <v>45890.06957184028</v>
      </c>
      <c r="B1485" s="3" t="s">
        <v>329</v>
      </c>
      <c r="C1485" s="3" t="s">
        <v>517</v>
      </c>
      <c r="D1485" s="3" t="s">
        <v>115</v>
      </c>
      <c r="E1485" s="3" t="s">
        <v>328</v>
      </c>
    </row>
    <row r="1486">
      <c r="A1486" s="23">
        <v>45890.06957577546</v>
      </c>
      <c r="B1486" s="3" t="s">
        <v>329</v>
      </c>
      <c r="C1486" s="3" t="s">
        <v>518</v>
      </c>
      <c r="D1486" s="3" t="s">
        <v>115</v>
      </c>
      <c r="E1486" s="3" t="s">
        <v>328</v>
      </c>
    </row>
    <row r="1487">
      <c r="A1487" s="23">
        <v>45890.06964803241</v>
      </c>
      <c r="B1487" s="3" t="s">
        <v>329</v>
      </c>
      <c r="C1487" s="3" t="str">
        <f>== Starting Full Finance Automation V10 ===</f>
        <v>#ERROR!</v>
      </c>
      <c r="D1487" s="3" t="s">
        <v>115</v>
      </c>
      <c r="E1487" s="3" t="s">
        <v>328</v>
      </c>
    </row>
    <row r="1488">
      <c r="A1488" s="23">
        <v>45890.0696574537</v>
      </c>
      <c r="B1488" s="3" t="s">
        <v>329</v>
      </c>
      <c r="C1488" s="3" t="s">
        <v>336</v>
      </c>
      <c r="D1488" s="3" t="s">
        <v>115</v>
      </c>
      <c r="E1488" s="3" t="s">
        <v>328</v>
      </c>
    </row>
    <row r="1489">
      <c r="A1489" s="23">
        <v>45890.06966003472</v>
      </c>
      <c r="B1489" s="3" t="s">
        <v>329</v>
      </c>
      <c r="C1489" s="3" t="s">
        <v>633</v>
      </c>
      <c r="D1489" s="3" t="s">
        <v>115</v>
      </c>
      <c r="E1489" s="3" t="s">
        <v>328</v>
      </c>
    </row>
    <row r="1490">
      <c r="A1490" s="23">
        <v>45890.06966460648</v>
      </c>
      <c r="B1490" s="3" t="s">
        <v>329</v>
      </c>
      <c r="C1490" s="3" t="s">
        <v>634</v>
      </c>
      <c r="D1490" s="3" t="s">
        <v>115</v>
      </c>
      <c r="E1490" s="3" t="s">
        <v>328</v>
      </c>
    </row>
    <row r="1491">
      <c r="A1491" s="23">
        <v>45890.069669062505</v>
      </c>
      <c r="B1491" s="3" t="s">
        <v>329</v>
      </c>
      <c r="C1491" s="3" t="s">
        <v>635</v>
      </c>
      <c r="D1491" s="3" t="s">
        <v>115</v>
      </c>
      <c r="E1491" s="3" t="s">
        <v>328</v>
      </c>
    </row>
    <row r="1492">
      <c r="A1492" s="23">
        <v>45890.0696740625</v>
      </c>
      <c r="B1492" s="3" t="s">
        <v>329</v>
      </c>
      <c r="C1492" s="3" t="s">
        <v>636</v>
      </c>
      <c r="D1492" s="3" t="s">
        <v>115</v>
      </c>
      <c r="E1492" s="3" t="s">
        <v>328</v>
      </c>
    </row>
    <row r="1493">
      <c r="A1493" s="23">
        <v>45890.06967824074</v>
      </c>
      <c r="B1493" s="3" t="s">
        <v>329</v>
      </c>
      <c r="C1493" s="3" t="s">
        <v>637</v>
      </c>
      <c r="D1493" s="3" t="s">
        <v>115</v>
      </c>
      <c r="E1493" s="3" t="s">
        <v>328</v>
      </c>
    </row>
    <row r="1494">
      <c r="A1494" s="23">
        <v>45890.0696821875</v>
      </c>
      <c r="B1494" s="3" t="s">
        <v>329</v>
      </c>
      <c r="C1494" s="3" t="s">
        <v>638</v>
      </c>
      <c r="D1494" s="3" t="s">
        <v>115</v>
      </c>
      <c r="E1494" s="3" t="s">
        <v>328</v>
      </c>
    </row>
    <row r="1495">
      <c r="A1495" s="23">
        <v>45890.06968655092</v>
      </c>
      <c r="B1495" s="3" t="s">
        <v>329</v>
      </c>
      <c r="C1495" s="3" t="s">
        <v>639</v>
      </c>
      <c r="D1495" s="3" t="s">
        <v>115</v>
      </c>
      <c r="E1495" s="3" t="s">
        <v>328</v>
      </c>
    </row>
    <row r="1496">
      <c r="A1496" s="23">
        <v>45890.06969596064</v>
      </c>
      <c r="B1496" s="3" t="s">
        <v>329</v>
      </c>
      <c r="C1496" s="3" t="s">
        <v>652</v>
      </c>
      <c r="D1496" s="3" t="s">
        <v>115</v>
      </c>
      <c r="E1496" s="3" t="s">
        <v>328</v>
      </c>
    </row>
    <row r="1497">
      <c r="A1497" s="23">
        <v>45890.06970047454</v>
      </c>
      <c r="B1497" s="3" t="s">
        <v>329</v>
      </c>
      <c r="C1497" s="3" t="s">
        <v>643</v>
      </c>
      <c r="D1497" s="3" t="s">
        <v>115</v>
      </c>
      <c r="E1497" s="3" t="s">
        <v>328</v>
      </c>
    </row>
    <row r="1498">
      <c r="A1498" s="23">
        <v>45890.06971203704</v>
      </c>
      <c r="B1498" s="3" t="s">
        <v>329</v>
      </c>
      <c r="C1498" s="3" t="s">
        <v>653</v>
      </c>
      <c r="D1498" s="3" t="s">
        <v>115</v>
      </c>
      <c r="E1498" s="3" t="s">
        <v>328</v>
      </c>
    </row>
    <row r="1499">
      <c r="A1499" s="23">
        <v>45890.069724189816</v>
      </c>
      <c r="B1499" s="3" t="s">
        <v>329</v>
      </c>
      <c r="C1499" s="3" t="s">
        <v>654</v>
      </c>
      <c r="D1499" s="3" t="s">
        <v>115</v>
      </c>
      <c r="E1499" s="3" t="s">
        <v>328</v>
      </c>
    </row>
    <row r="1500">
      <c r="A1500" s="23">
        <v>45890.069727546295</v>
      </c>
      <c r="B1500" s="3" t="s">
        <v>329</v>
      </c>
      <c r="C1500" s="3" t="s">
        <v>459</v>
      </c>
      <c r="D1500" s="3" t="s">
        <v>115</v>
      </c>
      <c r="E1500" s="3" t="s">
        <v>328</v>
      </c>
    </row>
    <row r="1501">
      <c r="A1501" s="23">
        <v>45890.06973828704</v>
      </c>
      <c r="B1501" s="3" t="s">
        <v>329</v>
      </c>
      <c r="C1501" s="3" t="s">
        <v>661</v>
      </c>
      <c r="D1501" s="3" t="s">
        <v>115</v>
      </c>
      <c r="E1501" s="3" t="s">
        <v>328</v>
      </c>
    </row>
    <row r="1502">
      <c r="A1502" s="23">
        <v>45890.06974384259</v>
      </c>
      <c r="B1502" s="3" t="s">
        <v>329</v>
      </c>
      <c r="C1502" s="3" t="s">
        <v>649</v>
      </c>
      <c r="D1502" s="3" t="s">
        <v>662</v>
      </c>
      <c r="E1502" s="3" t="s">
        <v>328</v>
      </c>
    </row>
    <row r="1503">
      <c r="A1503" s="23">
        <v>45890.069746967594</v>
      </c>
      <c r="B1503" s="3" t="s">
        <v>329</v>
      </c>
      <c r="C1503" s="3" t="s">
        <v>626</v>
      </c>
      <c r="D1503" s="3" t="s">
        <v>663</v>
      </c>
      <c r="E1503" s="3" t="s">
        <v>328</v>
      </c>
    </row>
    <row r="1504">
      <c r="A1504" s="23">
        <v>45890.06994494213</v>
      </c>
      <c r="B1504" s="3" t="s">
        <v>329</v>
      </c>
      <c r="C1504" s="3" t="s">
        <v>596</v>
      </c>
      <c r="D1504" s="3" t="s">
        <v>664</v>
      </c>
      <c r="E1504" s="3" t="s">
        <v>328</v>
      </c>
    </row>
    <row r="1505">
      <c r="A1505" s="23">
        <v>45890.069951377314</v>
      </c>
      <c r="B1505" s="3" t="s">
        <v>329</v>
      </c>
      <c r="C1505" s="3" t="s">
        <v>649</v>
      </c>
      <c r="D1505" s="3" t="s">
        <v>665</v>
      </c>
      <c r="E1505" s="3" t="s">
        <v>328</v>
      </c>
    </row>
    <row r="1506">
      <c r="A1506" s="23">
        <v>45890.06995412037</v>
      </c>
      <c r="B1506" s="3" t="s">
        <v>329</v>
      </c>
      <c r="C1506" s="3" t="s">
        <v>626</v>
      </c>
      <c r="D1506" s="3" t="s">
        <v>666</v>
      </c>
      <c r="E1506" s="3" t="s">
        <v>328</v>
      </c>
    </row>
    <row r="1507">
      <c r="A1507" s="23">
        <v>45890.07018958333</v>
      </c>
      <c r="B1507" s="3" t="s">
        <v>329</v>
      </c>
      <c r="C1507" s="3" t="s">
        <v>596</v>
      </c>
      <c r="D1507" s="3" t="s">
        <v>667</v>
      </c>
      <c r="E1507" s="3" t="s">
        <v>328</v>
      </c>
    </row>
    <row r="1508">
      <c r="A1508" s="23">
        <v>45890.07019482639</v>
      </c>
      <c r="B1508" s="3" t="s">
        <v>329</v>
      </c>
      <c r="C1508" s="3" t="s">
        <v>649</v>
      </c>
      <c r="D1508" s="3" t="s">
        <v>650</v>
      </c>
      <c r="E1508" s="3" t="s">
        <v>328</v>
      </c>
    </row>
    <row r="1509">
      <c r="A1509" s="23">
        <v>45890.070197395835</v>
      </c>
      <c r="B1509" s="3" t="s">
        <v>329</v>
      </c>
      <c r="C1509" s="3" t="s">
        <v>626</v>
      </c>
      <c r="D1509" s="3" t="s">
        <v>627</v>
      </c>
      <c r="E1509" s="3" t="s">
        <v>328</v>
      </c>
    </row>
    <row r="1510">
      <c r="A1510" s="23">
        <v>45890.07045767361</v>
      </c>
      <c r="B1510" s="3" t="s">
        <v>329</v>
      </c>
      <c r="C1510" s="3" t="s">
        <v>518</v>
      </c>
      <c r="D1510" s="3" t="s">
        <v>115</v>
      </c>
      <c r="E1510" s="3" t="s">
        <v>328</v>
      </c>
    </row>
    <row r="1511">
      <c r="A1511" s="23">
        <v>45890.070602499996</v>
      </c>
      <c r="B1511" s="3" t="s">
        <v>329</v>
      </c>
      <c r="C1511" s="3" t="s">
        <v>600</v>
      </c>
      <c r="D1511" s="3" t="s">
        <v>624</v>
      </c>
      <c r="E1511" s="3" t="s">
        <v>328</v>
      </c>
    </row>
    <row r="1512">
      <c r="A1512" s="23">
        <v>45890.07063138889</v>
      </c>
      <c r="B1512" s="3" t="s">
        <v>329</v>
      </c>
      <c r="C1512" s="3" t="s">
        <v>596</v>
      </c>
      <c r="D1512" s="3" t="s">
        <v>609</v>
      </c>
      <c r="E1512" s="3" t="s">
        <v>328</v>
      </c>
    </row>
    <row r="1513">
      <c r="A1513" s="23">
        <v>45890.07064797454</v>
      </c>
      <c r="B1513" s="3" t="s">
        <v>329</v>
      </c>
      <c r="C1513" s="3" t="s">
        <v>649</v>
      </c>
      <c r="D1513" s="3" t="s">
        <v>655</v>
      </c>
      <c r="E1513" s="3" t="s">
        <v>328</v>
      </c>
    </row>
    <row r="1514">
      <c r="A1514" s="23">
        <v>45890.070651030095</v>
      </c>
      <c r="B1514" s="3" t="s">
        <v>329</v>
      </c>
      <c r="C1514" s="3" t="s">
        <v>626</v>
      </c>
      <c r="D1514" s="3" t="s">
        <v>629</v>
      </c>
      <c r="E1514" s="3" t="s">
        <v>328</v>
      </c>
    </row>
    <row r="1515">
      <c r="A1515" s="23">
        <v>45890.07091484954</v>
      </c>
      <c r="B1515" s="3" t="s">
        <v>329</v>
      </c>
      <c r="C1515" s="3" t="s">
        <v>596</v>
      </c>
      <c r="D1515" s="3" t="s">
        <v>595</v>
      </c>
      <c r="E1515" s="3" t="s">
        <v>328</v>
      </c>
    </row>
    <row r="1516">
      <c r="A1516" s="23">
        <v>45890.07092009259</v>
      </c>
      <c r="B1516" s="3" t="s">
        <v>329</v>
      </c>
      <c r="C1516" s="3" t="s">
        <v>649</v>
      </c>
      <c r="D1516" s="3" t="s">
        <v>656</v>
      </c>
      <c r="E1516" s="3" t="s">
        <v>328</v>
      </c>
    </row>
    <row r="1517">
      <c r="A1517" s="23">
        <v>45890.07092273148</v>
      </c>
      <c r="B1517" s="3" t="s">
        <v>329</v>
      </c>
      <c r="C1517" s="3" t="s">
        <v>626</v>
      </c>
      <c r="D1517" s="3" t="s">
        <v>630</v>
      </c>
      <c r="E1517" s="3" t="s">
        <v>328</v>
      </c>
    </row>
    <row r="1518">
      <c r="A1518" s="23">
        <v>45890.0709397801</v>
      </c>
      <c r="B1518" s="3" t="s">
        <v>329</v>
      </c>
      <c r="C1518" s="3" t="str">
        <f>== STARTING HISTORICAL INTEGRATION TEST ===</f>
        <v>#ERROR!</v>
      </c>
      <c r="D1518" s="3" t="s">
        <v>115</v>
      </c>
      <c r="E1518" s="3" t="s">
        <v>328</v>
      </c>
    </row>
    <row r="1519">
      <c r="A1519" s="23">
        <v>45890.07094203704</v>
      </c>
      <c r="B1519" s="3" t="s">
        <v>329</v>
      </c>
      <c r="C1519" s="3" t="s">
        <v>676</v>
      </c>
      <c r="D1519" s="3" t="s">
        <v>677</v>
      </c>
      <c r="E1519" s="3" t="s">
        <v>328</v>
      </c>
    </row>
    <row r="1520">
      <c r="A1520" s="23">
        <v>45890.07095064815</v>
      </c>
      <c r="B1520" s="3" t="s">
        <v>329</v>
      </c>
      <c r="C1520" s="3" t="s">
        <v>678</v>
      </c>
      <c r="D1520" s="3" t="s">
        <v>115</v>
      </c>
      <c r="E1520" s="3" t="s">
        <v>328</v>
      </c>
    </row>
    <row r="1521">
      <c r="A1521" s="23">
        <v>45890.070953807866</v>
      </c>
      <c r="B1521" s="3" t="s">
        <v>329</v>
      </c>
      <c r="C1521" s="3" t="s">
        <v>679</v>
      </c>
      <c r="D1521" s="3" t="s">
        <v>115</v>
      </c>
      <c r="E1521" s="3" t="s">
        <v>328</v>
      </c>
    </row>
    <row r="1522">
      <c r="A1522" s="23">
        <v>45890.07095609954</v>
      </c>
      <c r="B1522" s="3" t="s">
        <v>329</v>
      </c>
      <c r="C1522" s="3" t="s">
        <v>680</v>
      </c>
      <c r="D1522" s="3" t="s">
        <v>115</v>
      </c>
      <c r="E1522" s="3" t="s">
        <v>328</v>
      </c>
    </row>
    <row r="1523">
      <c r="A1523" s="23">
        <v>45890.07095800926</v>
      </c>
      <c r="B1523" s="3" t="s">
        <v>329</v>
      </c>
      <c r="C1523" s="3" t="s">
        <v>681</v>
      </c>
      <c r="D1523" s="3" t="s">
        <v>115</v>
      </c>
      <c r="E1523" s="3" t="s">
        <v>328</v>
      </c>
    </row>
    <row r="1524">
      <c r="A1524" s="23">
        <v>45890.07096024306</v>
      </c>
      <c r="B1524" s="3" t="s">
        <v>329</v>
      </c>
      <c r="C1524" s="3" t="s">
        <v>682</v>
      </c>
      <c r="D1524" s="3" t="s">
        <v>115</v>
      </c>
      <c r="E1524" s="3" t="s">
        <v>328</v>
      </c>
    </row>
    <row r="1525">
      <c r="A1525" s="23">
        <v>45890.070962708334</v>
      </c>
      <c r="B1525" s="3" t="s">
        <v>329</v>
      </c>
      <c r="C1525" s="3" t="s">
        <v>683</v>
      </c>
      <c r="D1525" s="3" t="s">
        <v>684</v>
      </c>
      <c r="E1525" s="3" t="s">
        <v>328</v>
      </c>
    </row>
    <row r="1526">
      <c r="A1526" s="23">
        <v>45890.070968009255</v>
      </c>
      <c r="B1526" s="3" t="s">
        <v>329</v>
      </c>
      <c r="C1526" s="3" t="s">
        <v>685</v>
      </c>
      <c r="D1526" s="3" t="s">
        <v>686</v>
      </c>
      <c r="E1526" s="3" t="s">
        <v>328</v>
      </c>
    </row>
    <row r="1527">
      <c r="A1527" s="23">
        <v>45890.07097166667</v>
      </c>
      <c r="B1527" s="3" t="s">
        <v>329</v>
      </c>
      <c r="C1527" s="3" t="s">
        <v>687</v>
      </c>
      <c r="D1527" s="3" t="s">
        <v>688</v>
      </c>
      <c r="E1527" s="3" t="s">
        <v>328</v>
      </c>
    </row>
    <row r="1528">
      <c r="A1528" s="23">
        <v>45890.07097375</v>
      </c>
      <c r="B1528" s="3" t="s">
        <v>329</v>
      </c>
      <c r="C1528" s="3" t="s">
        <v>689</v>
      </c>
      <c r="D1528" s="3" t="s">
        <v>690</v>
      </c>
      <c r="E1528" s="3" t="s">
        <v>328</v>
      </c>
    </row>
    <row r="1529">
      <c r="A1529" s="23">
        <v>45890.07097590278</v>
      </c>
      <c r="B1529" s="3" t="s">
        <v>329</v>
      </c>
      <c r="C1529" s="3" t="s">
        <v>691</v>
      </c>
      <c r="D1529" s="3" t="s">
        <v>686</v>
      </c>
      <c r="E1529" s="3" t="s">
        <v>328</v>
      </c>
    </row>
    <row r="1530">
      <c r="A1530" s="23">
        <v>45890.07097789352</v>
      </c>
      <c r="B1530" s="3" t="s">
        <v>329</v>
      </c>
      <c r="C1530" s="3" t="s">
        <v>692</v>
      </c>
      <c r="D1530" s="3" t="s">
        <v>693</v>
      </c>
      <c r="E1530" s="3" t="s">
        <v>328</v>
      </c>
    </row>
    <row r="1531">
      <c r="A1531" s="23">
        <v>45890.07098255787</v>
      </c>
      <c r="B1531" s="3" t="s">
        <v>329</v>
      </c>
      <c r="C1531" s="3" t="s">
        <v>694</v>
      </c>
      <c r="D1531" s="3" t="s">
        <v>698</v>
      </c>
      <c r="E1531" s="3" t="s">
        <v>328</v>
      </c>
    </row>
    <row r="1532">
      <c r="A1532" s="23">
        <v>45890.07098484953</v>
      </c>
      <c r="B1532" s="3" t="s">
        <v>329</v>
      </c>
      <c r="C1532" s="3" t="s">
        <v>696</v>
      </c>
      <c r="D1532" s="3" t="s">
        <v>699</v>
      </c>
      <c r="E1532" s="3" t="s">
        <v>328</v>
      </c>
    </row>
    <row r="1533">
      <c r="A1533" s="23">
        <v>45890.070987025465</v>
      </c>
      <c r="B1533" s="3" t="s">
        <v>329</v>
      </c>
      <c r="C1533" s="3" t="str">
        <f>== HISTORICAL INTEGRATION TEST COMPLETED ===</f>
        <v>#ERROR!</v>
      </c>
      <c r="D1533" s="3" t="s">
        <v>115</v>
      </c>
      <c r="E1533" s="3" t="s">
        <v>328</v>
      </c>
    </row>
    <row r="1534">
      <c r="A1534" s="23">
        <v>45890.07106877315</v>
      </c>
      <c r="B1534" s="3" t="s">
        <v>329</v>
      </c>
      <c r="C1534" s="3" t="s">
        <v>596</v>
      </c>
      <c r="D1534" s="3" t="s">
        <v>597</v>
      </c>
      <c r="E1534" s="3" t="s">
        <v>328</v>
      </c>
    </row>
    <row r="1535">
      <c r="A1535" s="23">
        <v>45890.07107597222</v>
      </c>
      <c r="B1535" s="3" t="s">
        <v>329</v>
      </c>
      <c r="C1535" s="3" t="s">
        <v>649</v>
      </c>
      <c r="D1535" s="3" t="s">
        <v>657</v>
      </c>
      <c r="E1535" s="3" t="s">
        <v>328</v>
      </c>
    </row>
    <row r="1536">
      <c r="A1536" s="23">
        <v>45890.071079016205</v>
      </c>
      <c r="B1536" s="3" t="s">
        <v>329</v>
      </c>
      <c r="C1536" s="3" t="s">
        <v>626</v>
      </c>
      <c r="D1536" s="3" t="s">
        <v>631</v>
      </c>
      <c r="E1536" s="3" t="s">
        <v>328</v>
      </c>
    </row>
    <row r="1537">
      <c r="A1537" s="23">
        <v>45890.0712383912</v>
      </c>
      <c r="B1537" s="3" t="s">
        <v>329</v>
      </c>
      <c r="C1537" s="3" t="s">
        <v>596</v>
      </c>
      <c r="D1537" s="3" t="s">
        <v>599</v>
      </c>
      <c r="E1537" s="3" t="s">
        <v>328</v>
      </c>
    </row>
    <row r="1538">
      <c r="A1538" s="23">
        <v>45890.071248368055</v>
      </c>
      <c r="B1538" s="3" t="s">
        <v>329</v>
      </c>
      <c r="C1538" s="3" t="s">
        <v>338</v>
      </c>
      <c r="D1538" s="3" t="s">
        <v>339</v>
      </c>
      <c r="E1538" s="3" t="s">
        <v>328</v>
      </c>
    </row>
    <row r="1539">
      <c r="A1539" s="23">
        <v>45890.07125123843</v>
      </c>
      <c r="B1539" s="3" t="s">
        <v>329</v>
      </c>
      <c r="C1539" s="3" t="s">
        <v>497</v>
      </c>
      <c r="D1539" s="3" t="s">
        <v>115</v>
      </c>
      <c r="E1539" s="3" t="s">
        <v>328</v>
      </c>
    </row>
    <row r="1540">
      <c r="A1540" s="23">
        <v>45890.071260219906</v>
      </c>
      <c r="B1540" s="3" t="s">
        <v>329</v>
      </c>
      <c r="C1540" s="3" t="s">
        <v>342</v>
      </c>
      <c r="D1540" s="3" t="s">
        <v>115</v>
      </c>
      <c r="E1540" s="3" t="s">
        <v>328</v>
      </c>
    </row>
    <row r="1541">
      <c r="A1541" s="23">
        <v>45890.07126292824</v>
      </c>
      <c r="B1541" s="3" t="s">
        <v>329</v>
      </c>
      <c r="C1541" s="3" t="s">
        <v>498</v>
      </c>
      <c r="D1541" s="3" t="s">
        <v>115</v>
      </c>
      <c r="E1541" s="3" t="s">
        <v>328</v>
      </c>
    </row>
    <row r="1542">
      <c r="A1542" s="23">
        <v>45890.071266886574</v>
      </c>
      <c r="B1542" s="3" t="s">
        <v>329</v>
      </c>
      <c r="C1542" s="3" t="s">
        <v>499</v>
      </c>
      <c r="D1542" s="3" t="s">
        <v>115</v>
      </c>
      <c r="E1542" s="3" t="s">
        <v>328</v>
      </c>
    </row>
    <row r="1543">
      <c r="A1543" s="23">
        <v>45890.07127915509</v>
      </c>
      <c r="B1543" s="3" t="s">
        <v>329</v>
      </c>
      <c r="C1543" s="3" t="s">
        <v>534</v>
      </c>
      <c r="D1543" s="3" t="s">
        <v>115</v>
      </c>
      <c r="E1543" s="3" t="s">
        <v>328</v>
      </c>
    </row>
    <row r="1544">
      <c r="A1544" s="23">
        <v>45890.07128325231</v>
      </c>
      <c r="B1544" s="3" t="s">
        <v>329</v>
      </c>
      <c r="C1544" s="3" t="s">
        <v>535</v>
      </c>
      <c r="D1544" s="3" t="s">
        <v>115</v>
      </c>
      <c r="E1544" s="3" t="s">
        <v>328</v>
      </c>
    </row>
    <row r="1545">
      <c r="A1545" s="23">
        <v>45890.07128686343</v>
      </c>
      <c r="B1545" s="3" t="s">
        <v>329</v>
      </c>
      <c r="C1545" s="3" t="s">
        <v>536</v>
      </c>
      <c r="D1545" s="3" t="s">
        <v>115</v>
      </c>
      <c r="E1545" s="3" t="s">
        <v>328</v>
      </c>
    </row>
    <row r="1546">
      <c r="A1546" s="23">
        <v>45890.07128966435</v>
      </c>
      <c r="B1546" s="3" t="s">
        <v>329</v>
      </c>
      <c r="C1546" s="3" t="s">
        <v>502</v>
      </c>
      <c r="D1546" s="3" t="s">
        <v>115</v>
      </c>
      <c r="E1546" s="3" t="s">
        <v>328</v>
      </c>
    </row>
    <row r="1547">
      <c r="A1547" s="23">
        <v>45890.07131341435</v>
      </c>
      <c r="B1547" s="3" t="s">
        <v>329</v>
      </c>
      <c r="C1547" s="3" t="s">
        <v>600</v>
      </c>
      <c r="D1547" s="3" t="s">
        <v>624</v>
      </c>
      <c r="E1547" s="3" t="s">
        <v>328</v>
      </c>
    </row>
    <row r="1548">
      <c r="A1548" s="23">
        <v>45890.071316354166</v>
      </c>
      <c r="B1548" s="3" t="s">
        <v>329</v>
      </c>
      <c r="C1548" s="3" t="str">
        <f>== Finance Automation V10 Complete ===</f>
        <v>#ERROR!</v>
      </c>
      <c r="D1548" s="3" t="s">
        <v>700</v>
      </c>
      <c r="E1548" s="3" t="s">
        <v>328</v>
      </c>
    </row>
    <row r="1549">
      <c r="A1549" s="23">
        <v>45890.119282430554</v>
      </c>
      <c r="B1549" s="3" t="s">
        <v>329</v>
      </c>
      <c r="C1549" s="3" t="s">
        <v>484</v>
      </c>
      <c r="D1549" s="3" t="s">
        <v>115</v>
      </c>
      <c r="E1549" s="3" t="s">
        <v>328</v>
      </c>
    </row>
    <row r="1550">
      <c r="A1550" s="23">
        <v>45890.11928408565</v>
      </c>
      <c r="B1550" s="3" t="s">
        <v>329</v>
      </c>
      <c r="C1550" s="3" t="s">
        <v>516</v>
      </c>
      <c r="D1550" s="3" t="s">
        <v>115</v>
      </c>
      <c r="E1550" s="3" t="s">
        <v>328</v>
      </c>
    </row>
    <row r="1551">
      <c r="A1551" s="23">
        <v>45890.11928670139</v>
      </c>
      <c r="B1551" s="3" t="s">
        <v>329</v>
      </c>
      <c r="C1551" s="3" t="s">
        <v>517</v>
      </c>
      <c r="D1551" s="3" t="s">
        <v>115</v>
      </c>
      <c r="E1551" s="3" t="s">
        <v>328</v>
      </c>
    </row>
    <row r="1552">
      <c r="A1552" s="23">
        <v>45890.11928883102</v>
      </c>
      <c r="B1552" s="3" t="s">
        <v>329</v>
      </c>
      <c r="C1552" s="3" t="s">
        <v>518</v>
      </c>
      <c r="D1552" s="3" t="s">
        <v>115</v>
      </c>
      <c r="E1552" s="3" t="s">
        <v>328</v>
      </c>
    </row>
    <row r="1553">
      <c r="A1553" s="23">
        <v>45890.11949380787</v>
      </c>
      <c r="B1553" s="3" t="s">
        <v>329</v>
      </c>
      <c r="C1553" s="3" t="str">
        <f>== Starting Full Finance Automation V10 ===</f>
        <v>#ERROR!</v>
      </c>
      <c r="D1553" s="3" t="s">
        <v>115</v>
      </c>
      <c r="E1553" s="3" t="s">
        <v>328</v>
      </c>
    </row>
    <row r="1554">
      <c r="A1554" s="23">
        <v>45890.11950237269</v>
      </c>
      <c r="B1554" s="3" t="s">
        <v>329</v>
      </c>
      <c r="C1554" s="3" t="s">
        <v>336</v>
      </c>
      <c r="D1554" s="3" t="s">
        <v>115</v>
      </c>
      <c r="E1554" s="3" t="s">
        <v>328</v>
      </c>
    </row>
    <row r="1555">
      <c r="A1555" s="23">
        <v>45890.11950518518</v>
      </c>
      <c r="B1555" s="3" t="s">
        <v>329</v>
      </c>
      <c r="C1555" s="3" t="s">
        <v>633</v>
      </c>
      <c r="D1555" s="3" t="s">
        <v>115</v>
      </c>
      <c r="E1555" s="3" t="s">
        <v>328</v>
      </c>
    </row>
    <row r="1556">
      <c r="A1556" s="23">
        <v>45890.119509641205</v>
      </c>
      <c r="B1556" s="3" t="s">
        <v>329</v>
      </c>
      <c r="C1556" s="3" t="s">
        <v>634</v>
      </c>
      <c r="D1556" s="3" t="s">
        <v>115</v>
      </c>
      <c r="E1556" s="3" t="s">
        <v>328</v>
      </c>
    </row>
    <row r="1557">
      <c r="A1557" s="23">
        <v>45890.11952478009</v>
      </c>
      <c r="B1557" s="3" t="s">
        <v>329</v>
      </c>
      <c r="C1557" s="3" t="s">
        <v>635</v>
      </c>
      <c r="D1557" s="3" t="s">
        <v>115</v>
      </c>
      <c r="E1557" s="3" t="s">
        <v>328</v>
      </c>
    </row>
    <row r="1558">
      <c r="A1558" s="23">
        <v>45890.11953131945</v>
      </c>
      <c r="B1558" s="3" t="s">
        <v>329</v>
      </c>
      <c r="C1558" s="3" t="s">
        <v>636</v>
      </c>
      <c r="D1558" s="3" t="s">
        <v>115</v>
      </c>
      <c r="E1558" s="3" t="s">
        <v>328</v>
      </c>
    </row>
    <row r="1559">
      <c r="A1559" s="23">
        <v>45890.11953542824</v>
      </c>
      <c r="B1559" s="3" t="s">
        <v>329</v>
      </c>
      <c r="C1559" s="3" t="s">
        <v>637</v>
      </c>
      <c r="D1559" s="3" t="s">
        <v>115</v>
      </c>
      <c r="E1559" s="3" t="s">
        <v>328</v>
      </c>
    </row>
    <row r="1560">
      <c r="A1560" s="23">
        <v>45890.1195396875</v>
      </c>
      <c r="B1560" s="3" t="s">
        <v>329</v>
      </c>
      <c r="C1560" s="3" t="s">
        <v>638</v>
      </c>
      <c r="D1560" s="3" t="s">
        <v>115</v>
      </c>
      <c r="E1560" s="3" t="s">
        <v>328</v>
      </c>
    </row>
    <row r="1561">
      <c r="A1561" s="23">
        <v>45890.11954378472</v>
      </c>
      <c r="B1561" s="3" t="s">
        <v>329</v>
      </c>
      <c r="C1561" s="3" t="s">
        <v>639</v>
      </c>
      <c r="D1561" s="3" t="s">
        <v>115</v>
      </c>
      <c r="E1561" s="3" t="s">
        <v>328</v>
      </c>
    </row>
    <row r="1562">
      <c r="A1562" s="23">
        <v>45890.11954837963</v>
      </c>
      <c r="B1562" s="3" t="s">
        <v>329</v>
      </c>
      <c r="C1562" s="3" t="s">
        <v>652</v>
      </c>
      <c r="D1562" s="3" t="s">
        <v>115</v>
      </c>
      <c r="E1562" s="3" t="s">
        <v>328</v>
      </c>
    </row>
    <row r="1563">
      <c r="A1563" s="23">
        <v>45890.11955271991</v>
      </c>
      <c r="B1563" s="3" t="s">
        <v>329</v>
      </c>
      <c r="C1563" s="3" t="s">
        <v>643</v>
      </c>
      <c r="D1563" s="3" t="s">
        <v>115</v>
      </c>
      <c r="E1563" s="3" t="s">
        <v>328</v>
      </c>
    </row>
    <row r="1564">
      <c r="A1564" s="23">
        <v>45890.11955712963</v>
      </c>
      <c r="B1564" s="3" t="s">
        <v>329</v>
      </c>
      <c r="C1564" s="3" t="s">
        <v>653</v>
      </c>
      <c r="D1564" s="3" t="s">
        <v>115</v>
      </c>
      <c r="E1564" s="3" t="s">
        <v>328</v>
      </c>
    </row>
    <row r="1565">
      <c r="A1565" s="23">
        <v>45890.1195608912</v>
      </c>
      <c r="B1565" s="3" t="s">
        <v>329</v>
      </c>
      <c r="C1565" s="3" t="s">
        <v>654</v>
      </c>
      <c r="D1565" s="3" t="s">
        <v>115</v>
      </c>
      <c r="E1565" s="3" t="s">
        <v>328</v>
      </c>
    </row>
    <row r="1566">
      <c r="A1566" s="23">
        <v>45890.11956380787</v>
      </c>
      <c r="B1566" s="3" t="s">
        <v>329</v>
      </c>
      <c r="C1566" s="3" t="s">
        <v>459</v>
      </c>
      <c r="D1566" s="3" t="s">
        <v>115</v>
      </c>
      <c r="E1566" s="3" t="s">
        <v>328</v>
      </c>
    </row>
    <row r="1567">
      <c r="A1567" s="23">
        <v>45890.119574282406</v>
      </c>
      <c r="B1567" s="3" t="s">
        <v>329</v>
      </c>
      <c r="C1567" s="3" t="s">
        <v>661</v>
      </c>
      <c r="D1567" s="3" t="s">
        <v>115</v>
      </c>
      <c r="E1567" s="3" t="s">
        <v>328</v>
      </c>
    </row>
    <row r="1568">
      <c r="A1568" s="23">
        <v>45890.11958265046</v>
      </c>
      <c r="B1568" s="3" t="s">
        <v>329</v>
      </c>
      <c r="C1568" s="3" t="s">
        <v>649</v>
      </c>
      <c r="D1568" s="3" t="s">
        <v>662</v>
      </c>
      <c r="E1568" s="3" t="s">
        <v>328</v>
      </c>
    </row>
    <row r="1569">
      <c r="A1569" s="23">
        <v>45890.11958543981</v>
      </c>
      <c r="B1569" s="3" t="s">
        <v>329</v>
      </c>
      <c r="C1569" s="3" t="s">
        <v>626</v>
      </c>
      <c r="D1569" s="3" t="s">
        <v>663</v>
      </c>
      <c r="E1569" s="3" t="s">
        <v>328</v>
      </c>
    </row>
    <row r="1570">
      <c r="A1570" s="23">
        <v>45890.119588738424</v>
      </c>
      <c r="B1570" s="3" t="s">
        <v>329</v>
      </c>
      <c r="C1570" s="3" t="s">
        <v>701</v>
      </c>
      <c r="D1570" s="3" t="s">
        <v>702</v>
      </c>
      <c r="E1570" s="3" t="s">
        <v>328</v>
      </c>
    </row>
    <row r="1571">
      <c r="A1571" s="23">
        <v>45890.11959158565</v>
      </c>
      <c r="B1571" s="3" t="s">
        <v>329</v>
      </c>
      <c r="C1571" s="3" t="s">
        <v>626</v>
      </c>
      <c r="D1571" s="3" t="s">
        <v>663</v>
      </c>
      <c r="E1571" s="3" t="s">
        <v>328</v>
      </c>
    </row>
    <row r="1572">
      <c r="A1572" s="23">
        <v>45890.11959480324</v>
      </c>
      <c r="B1572" s="3" t="s">
        <v>329</v>
      </c>
      <c r="C1572" s="3" t="s">
        <v>701</v>
      </c>
      <c r="D1572" s="3" t="s">
        <v>702</v>
      </c>
      <c r="E1572" s="3" t="s">
        <v>328</v>
      </c>
    </row>
    <row r="1573">
      <c r="A1573" s="23">
        <v>45890.11959770833</v>
      </c>
      <c r="B1573" s="3" t="s">
        <v>329</v>
      </c>
      <c r="C1573" s="3" t="s">
        <v>594</v>
      </c>
      <c r="D1573" s="3" t="s">
        <v>664</v>
      </c>
      <c r="E1573" s="3" t="s">
        <v>328</v>
      </c>
    </row>
    <row r="1574">
      <c r="A1574" s="23">
        <v>45890.1196203588</v>
      </c>
      <c r="B1574" s="3" t="s">
        <v>325</v>
      </c>
      <c r="C1574" s="3" t="s">
        <v>104</v>
      </c>
      <c r="D1574" s="3" t="s">
        <v>703</v>
      </c>
      <c r="E1574" s="3" t="s">
        <v>328</v>
      </c>
    </row>
    <row r="1575">
      <c r="A1575" s="23">
        <v>45890.119627673615</v>
      </c>
      <c r="B1575" s="3" t="s">
        <v>329</v>
      </c>
      <c r="C1575" s="3" t="s">
        <v>704</v>
      </c>
      <c r="D1575" s="3" t="s">
        <v>705</v>
      </c>
      <c r="E1575" s="3" t="s">
        <v>328</v>
      </c>
    </row>
    <row r="1576">
      <c r="A1576" s="23">
        <v>45890.11963259259</v>
      </c>
      <c r="B1576" s="3" t="s">
        <v>329</v>
      </c>
      <c r="C1576" s="3" t="s">
        <v>649</v>
      </c>
      <c r="D1576" s="3" t="s">
        <v>665</v>
      </c>
      <c r="E1576" s="3" t="s">
        <v>328</v>
      </c>
    </row>
    <row r="1577">
      <c r="A1577" s="23">
        <v>45890.11963527778</v>
      </c>
      <c r="B1577" s="3" t="s">
        <v>329</v>
      </c>
      <c r="C1577" s="3" t="s">
        <v>626</v>
      </c>
      <c r="D1577" s="3" t="s">
        <v>666</v>
      </c>
      <c r="E1577" s="3" t="s">
        <v>328</v>
      </c>
    </row>
    <row r="1578">
      <c r="A1578" s="23">
        <v>45890.11963814815</v>
      </c>
      <c r="B1578" s="3" t="s">
        <v>329</v>
      </c>
      <c r="C1578" s="3" t="s">
        <v>701</v>
      </c>
      <c r="D1578" s="3" t="s">
        <v>702</v>
      </c>
      <c r="E1578" s="3" t="s">
        <v>328</v>
      </c>
    </row>
    <row r="1579">
      <c r="A1579" s="23">
        <v>45890.11964114584</v>
      </c>
      <c r="B1579" s="3" t="s">
        <v>329</v>
      </c>
      <c r="C1579" s="3" t="s">
        <v>626</v>
      </c>
      <c r="D1579" s="3" t="s">
        <v>666</v>
      </c>
      <c r="E1579" s="3" t="s">
        <v>328</v>
      </c>
    </row>
    <row r="1580">
      <c r="A1580" s="23">
        <v>45890.11964427083</v>
      </c>
      <c r="B1580" s="3" t="s">
        <v>329</v>
      </c>
      <c r="C1580" s="3" t="s">
        <v>701</v>
      </c>
      <c r="D1580" s="3" t="s">
        <v>702</v>
      </c>
      <c r="E1580" s="3" t="s">
        <v>328</v>
      </c>
    </row>
    <row r="1581">
      <c r="A1581" s="23">
        <v>45890.119647430554</v>
      </c>
      <c r="B1581" s="3" t="s">
        <v>329</v>
      </c>
      <c r="C1581" s="3" t="s">
        <v>594</v>
      </c>
      <c r="D1581" s="3" t="s">
        <v>667</v>
      </c>
      <c r="E1581" s="3" t="s">
        <v>328</v>
      </c>
    </row>
    <row r="1582">
      <c r="A1582" s="23">
        <v>45890.11965699074</v>
      </c>
      <c r="B1582" s="3" t="s">
        <v>325</v>
      </c>
      <c r="C1582" s="3" t="s">
        <v>706</v>
      </c>
      <c r="D1582" s="3" t="s">
        <v>707</v>
      </c>
      <c r="E1582" s="3" t="s">
        <v>328</v>
      </c>
    </row>
    <row r="1583">
      <c r="A1583" s="23">
        <v>45890.11986722222</v>
      </c>
      <c r="B1583" s="3" t="s">
        <v>329</v>
      </c>
      <c r="C1583" s="3" t="s">
        <v>596</v>
      </c>
      <c r="D1583" s="3" t="s">
        <v>667</v>
      </c>
      <c r="E1583" s="3" t="s">
        <v>328</v>
      </c>
    </row>
    <row r="1584">
      <c r="A1584" s="23">
        <v>45890.1198724537</v>
      </c>
      <c r="B1584" s="3" t="s">
        <v>329</v>
      </c>
      <c r="C1584" s="3" t="s">
        <v>649</v>
      </c>
      <c r="D1584" s="3" t="s">
        <v>650</v>
      </c>
      <c r="E1584" s="3" t="s">
        <v>328</v>
      </c>
    </row>
    <row r="1585">
      <c r="A1585" s="23">
        <v>45890.11987494213</v>
      </c>
      <c r="B1585" s="3" t="s">
        <v>329</v>
      </c>
      <c r="C1585" s="3" t="s">
        <v>626</v>
      </c>
      <c r="D1585" s="3" t="s">
        <v>627</v>
      </c>
      <c r="E1585" s="3" t="s">
        <v>328</v>
      </c>
    </row>
    <row r="1586">
      <c r="A1586" s="23">
        <v>45890.11987751158</v>
      </c>
      <c r="B1586" s="3" t="s">
        <v>329</v>
      </c>
      <c r="C1586" s="3" t="s">
        <v>708</v>
      </c>
      <c r="D1586" s="3" t="s">
        <v>709</v>
      </c>
      <c r="E1586" s="3" t="s">
        <v>328</v>
      </c>
    </row>
    <row r="1587">
      <c r="A1587" s="23">
        <v>45890.119880729166</v>
      </c>
      <c r="B1587" s="3" t="s">
        <v>329</v>
      </c>
      <c r="C1587" s="3" t="s">
        <v>626</v>
      </c>
      <c r="D1587" s="3" t="s">
        <v>627</v>
      </c>
      <c r="E1587" s="3" t="s">
        <v>328</v>
      </c>
    </row>
    <row r="1588">
      <c r="A1588" s="23">
        <v>45890.119883368054</v>
      </c>
      <c r="B1588" s="3" t="s">
        <v>329</v>
      </c>
      <c r="C1588" s="3" t="s">
        <v>708</v>
      </c>
      <c r="D1588" s="3" t="s">
        <v>709</v>
      </c>
      <c r="E1588" s="3" t="s">
        <v>328</v>
      </c>
    </row>
    <row r="1589">
      <c r="A1589" s="23">
        <v>45890.11988696759</v>
      </c>
      <c r="B1589" s="3" t="s">
        <v>329</v>
      </c>
      <c r="C1589" s="3" t="s">
        <v>615</v>
      </c>
      <c r="D1589" s="3" t="s">
        <v>609</v>
      </c>
      <c r="E1589" s="3" t="s">
        <v>328</v>
      </c>
    </row>
    <row r="1590">
      <c r="A1590" s="23">
        <v>45890.11988976852</v>
      </c>
      <c r="B1590" s="3" t="s">
        <v>329</v>
      </c>
      <c r="C1590" s="3" t="s">
        <v>710</v>
      </c>
      <c r="D1590" s="3" t="s">
        <v>711</v>
      </c>
      <c r="E1590" s="3" t="s">
        <v>328</v>
      </c>
    </row>
    <row r="1591">
      <c r="A1591" s="23">
        <v>45890.11989231482</v>
      </c>
      <c r="B1591" s="3" t="s">
        <v>329</v>
      </c>
      <c r="C1591" s="3" t="s">
        <v>712</v>
      </c>
      <c r="D1591" s="3" t="s">
        <v>713</v>
      </c>
      <c r="E1591" s="3" t="s">
        <v>328</v>
      </c>
    </row>
    <row r="1592">
      <c r="A1592" s="23">
        <v>45890.119894918986</v>
      </c>
      <c r="B1592" s="3" t="s">
        <v>329</v>
      </c>
      <c r="C1592" s="3" t="s">
        <v>714</v>
      </c>
      <c r="D1592" s="3" t="s">
        <v>115</v>
      </c>
      <c r="E1592" s="3" t="s">
        <v>328</v>
      </c>
    </row>
    <row r="1593">
      <c r="A1593" s="23">
        <v>45890.11989785879</v>
      </c>
      <c r="B1593" s="3" t="s">
        <v>329</v>
      </c>
      <c r="C1593" s="3" t="s">
        <v>715</v>
      </c>
      <c r="D1593" s="3" t="s">
        <v>716</v>
      </c>
      <c r="E1593" s="3" t="s">
        <v>328</v>
      </c>
    </row>
    <row r="1594">
      <c r="A1594" s="23">
        <v>45890.119969907406</v>
      </c>
      <c r="B1594" s="3" t="s">
        <v>325</v>
      </c>
      <c r="C1594" s="3" t="s">
        <v>104</v>
      </c>
      <c r="D1594" s="3" t="s">
        <v>717</v>
      </c>
      <c r="E1594" s="3" t="s">
        <v>328</v>
      </c>
    </row>
    <row r="1595">
      <c r="A1595" s="23">
        <v>45890.119978229166</v>
      </c>
      <c r="B1595" s="3" t="s">
        <v>329</v>
      </c>
      <c r="C1595" s="3" t="s">
        <v>718</v>
      </c>
      <c r="D1595" s="3" t="s">
        <v>719</v>
      </c>
      <c r="E1595" s="3" t="s">
        <v>328</v>
      </c>
    </row>
    <row r="1596">
      <c r="A1596" s="23">
        <v>45890.11999708333</v>
      </c>
      <c r="B1596" s="3" t="s">
        <v>329</v>
      </c>
      <c r="C1596" s="3" t="s">
        <v>649</v>
      </c>
      <c r="D1596" s="3" t="s">
        <v>655</v>
      </c>
      <c r="E1596" s="3" t="s">
        <v>328</v>
      </c>
    </row>
    <row r="1597">
      <c r="A1597" s="23">
        <v>45890.12000101852</v>
      </c>
      <c r="B1597" s="3" t="s">
        <v>329</v>
      </c>
      <c r="C1597" s="3" t="s">
        <v>626</v>
      </c>
      <c r="D1597" s="3" t="s">
        <v>629</v>
      </c>
      <c r="E1597" s="3" t="s">
        <v>328</v>
      </c>
    </row>
    <row r="1598">
      <c r="A1598" s="23">
        <v>45890.12000354167</v>
      </c>
      <c r="B1598" s="3" t="s">
        <v>329</v>
      </c>
      <c r="C1598" s="3" t="s">
        <v>701</v>
      </c>
      <c r="D1598" s="3" t="s">
        <v>702</v>
      </c>
      <c r="E1598" s="3" t="s">
        <v>328</v>
      </c>
    </row>
    <row r="1599">
      <c r="A1599" s="23">
        <v>45890.12000758102</v>
      </c>
      <c r="B1599" s="3" t="s">
        <v>329</v>
      </c>
      <c r="C1599" s="3" t="s">
        <v>626</v>
      </c>
      <c r="D1599" s="3" t="s">
        <v>629</v>
      </c>
      <c r="E1599" s="3" t="s">
        <v>328</v>
      </c>
    </row>
    <row r="1600">
      <c r="A1600" s="23">
        <v>45890.12002017361</v>
      </c>
      <c r="B1600" s="3" t="s">
        <v>329</v>
      </c>
      <c r="C1600" s="3" t="s">
        <v>701</v>
      </c>
      <c r="D1600" s="3" t="s">
        <v>702</v>
      </c>
      <c r="E1600" s="3" t="s">
        <v>328</v>
      </c>
    </row>
    <row r="1601">
      <c r="A1601" s="23">
        <v>45890.1200228125</v>
      </c>
      <c r="B1601" s="3" t="s">
        <v>329</v>
      </c>
      <c r="C1601" s="3" t="s">
        <v>594</v>
      </c>
      <c r="D1601" s="3" t="s">
        <v>595</v>
      </c>
      <c r="E1601" s="3" t="s">
        <v>328</v>
      </c>
    </row>
    <row r="1602">
      <c r="A1602" s="23">
        <v>45890.12002974537</v>
      </c>
      <c r="B1602" s="3" t="s">
        <v>325</v>
      </c>
      <c r="C1602" s="3" t="s">
        <v>706</v>
      </c>
      <c r="D1602" s="3" t="s">
        <v>707</v>
      </c>
      <c r="E1602" s="3" t="s">
        <v>328</v>
      </c>
    </row>
    <row r="1603">
      <c r="A1603" s="23">
        <v>45890.120272314816</v>
      </c>
      <c r="B1603" s="3" t="s">
        <v>329</v>
      </c>
      <c r="C1603" s="3" t="s">
        <v>596</v>
      </c>
      <c r="D1603" s="3" t="s">
        <v>595</v>
      </c>
      <c r="E1603" s="3" t="s">
        <v>328</v>
      </c>
    </row>
    <row r="1604">
      <c r="A1604" s="23">
        <v>45890.120277187496</v>
      </c>
      <c r="B1604" s="3" t="s">
        <v>329</v>
      </c>
      <c r="C1604" s="3" t="s">
        <v>649</v>
      </c>
      <c r="D1604" s="3" t="s">
        <v>656</v>
      </c>
      <c r="E1604" s="3" t="s">
        <v>328</v>
      </c>
    </row>
    <row r="1605">
      <c r="A1605" s="23">
        <v>45890.12027975694</v>
      </c>
      <c r="B1605" s="3" t="s">
        <v>329</v>
      </c>
      <c r="C1605" s="3" t="s">
        <v>626</v>
      </c>
      <c r="D1605" s="3" t="s">
        <v>630</v>
      </c>
      <c r="E1605" s="3" t="s">
        <v>328</v>
      </c>
    </row>
    <row r="1606">
      <c r="A1606" s="23">
        <v>45890.120282662036</v>
      </c>
      <c r="B1606" s="3" t="s">
        <v>329</v>
      </c>
      <c r="C1606" s="3" t="s">
        <v>701</v>
      </c>
      <c r="D1606" s="3" t="s">
        <v>702</v>
      </c>
      <c r="E1606" s="3" t="s">
        <v>328</v>
      </c>
    </row>
    <row r="1607">
      <c r="A1607" s="23">
        <v>45890.12028519676</v>
      </c>
      <c r="B1607" s="3" t="s">
        <v>329</v>
      </c>
      <c r="C1607" s="3" t="s">
        <v>626</v>
      </c>
      <c r="D1607" s="3" t="s">
        <v>630</v>
      </c>
      <c r="E1607" s="3" t="s">
        <v>328</v>
      </c>
    </row>
    <row r="1608">
      <c r="A1608" s="23">
        <v>45890.1202879051</v>
      </c>
      <c r="B1608" s="3" t="s">
        <v>329</v>
      </c>
      <c r="C1608" s="3" t="s">
        <v>701</v>
      </c>
      <c r="D1608" s="3" t="s">
        <v>702</v>
      </c>
      <c r="E1608" s="3" t="s">
        <v>328</v>
      </c>
    </row>
    <row r="1609">
      <c r="A1609" s="23">
        <v>45890.12029042824</v>
      </c>
      <c r="B1609" s="3" t="s">
        <v>329</v>
      </c>
      <c r="C1609" s="3" t="s">
        <v>594</v>
      </c>
      <c r="D1609" s="3" t="s">
        <v>597</v>
      </c>
      <c r="E1609" s="3" t="s">
        <v>328</v>
      </c>
    </row>
    <row r="1610">
      <c r="A1610" s="23">
        <v>45890.120297800924</v>
      </c>
      <c r="B1610" s="3" t="s">
        <v>325</v>
      </c>
      <c r="C1610" s="3" t="s">
        <v>706</v>
      </c>
      <c r="D1610" s="3" t="s">
        <v>707</v>
      </c>
      <c r="E1610" s="3" t="s">
        <v>328</v>
      </c>
    </row>
    <row r="1611">
      <c r="A1611" s="23">
        <v>45890.120420590276</v>
      </c>
      <c r="B1611" s="3" t="s">
        <v>329</v>
      </c>
      <c r="C1611" s="3" t="s">
        <v>596</v>
      </c>
      <c r="D1611" s="3" t="s">
        <v>597</v>
      </c>
      <c r="E1611" s="3" t="s">
        <v>328</v>
      </c>
    </row>
    <row r="1612">
      <c r="A1612" s="23">
        <v>45890.12042739583</v>
      </c>
      <c r="B1612" s="3" t="s">
        <v>329</v>
      </c>
      <c r="C1612" s="3" t="s">
        <v>649</v>
      </c>
      <c r="D1612" s="3" t="s">
        <v>657</v>
      </c>
      <c r="E1612" s="3" t="s">
        <v>328</v>
      </c>
    </row>
    <row r="1613">
      <c r="A1613" s="23">
        <v>45890.12043068287</v>
      </c>
      <c r="B1613" s="3" t="s">
        <v>329</v>
      </c>
      <c r="C1613" s="3" t="s">
        <v>626</v>
      </c>
      <c r="D1613" s="3" t="s">
        <v>631</v>
      </c>
      <c r="E1613" s="3" t="s">
        <v>328</v>
      </c>
    </row>
    <row r="1614">
      <c r="A1614" s="23">
        <v>45890.120433275464</v>
      </c>
      <c r="B1614" s="3" t="s">
        <v>329</v>
      </c>
      <c r="C1614" s="3" t="s">
        <v>720</v>
      </c>
      <c r="D1614" s="3" t="s">
        <v>721</v>
      </c>
      <c r="E1614" s="3" t="s">
        <v>328</v>
      </c>
    </row>
    <row r="1615">
      <c r="A1615" s="23">
        <v>45890.12044240741</v>
      </c>
      <c r="B1615" s="3" t="s">
        <v>329</v>
      </c>
      <c r="C1615" s="3" t="s">
        <v>626</v>
      </c>
      <c r="D1615" s="3" t="s">
        <v>631</v>
      </c>
      <c r="E1615" s="3" t="s">
        <v>328</v>
      </c>
    </row>
    <row r="1616">
      <c r="A1616" s="23">
        <v>45890.12044508102</v>
      </c>
      <c r="B1616" s="3" t="s">
        <v>329</v>
      </c>
      <c r="C1616" s="3" t="s">
        <v>720</v>
      </c>
      <c r="D1616" s="3" t="s">
        <v>721</v>
      </c>
      <c r="E1616" s="3" t="s">
        <v>328</v>
      </c>
    </row>
    <row r="1617">
      <c r="A1617" s="23">
        <v>45890.120447685185</v>
      </c>
      <c r="B1617" s="3" t="s">
        <v>329</v>
      </c>
      <c r="C1617" s="3" t="s">
        <v>598</v>
      </c>
      <c r="D1617" s="3" t="s">
        <v>599</v>
      </c>
      <c r="E1617" s="3" t="s">
        <v>328</v>
      </c>
    </row>
    <row r="1618">
      <c r="A1618" s="23">
        <v>45890.12046006945</v>
      </c>
      <c r="B1618" s="3" t="s">
        <v>325</v>
      </c>
      <c r="C1618" s="3" t="s">
        <v>706</v>
      </c>
      <c r="D1618" s="3" t="s">
        <v>707</v>
      </c>
      <c r="E1618" s="3" t="s">
        <v>328</v>
      </c>
    </row>
    <row r="1619">
      <c r="A1619" s="23">
        <v>45890.120646678246</v>
      </c>
      <c r="B1619" s="3" t="s">
        <v>329</v>
      </c>
      <c r="C1619" s="3" t="s">
        <v>596</v>
      </c>
      <c r="D1619" s="3" t="s">
        <v>599</v>
      </c>
      <c r="E1619" s="3" t="s">
        <v>328</v>
      </c>
    </row>
    <row r="1620">
      <c r="A1620" s="23">
        <v>45890.12065709491</v>
      </c>
      <c r="B1620" s="3" t="s">
        <v>329</v>
      </c>
      <c r="C1620" s="3" t="s">
        <v>338</v>
      </c>
      <c r="D1620" s="3" t="s">
        <v>496</v>
      </c>
      <c r="E1620" s="3" t="s">
        <v>328</v>
      </c>
    </row>
    <row r="1621">
      <c r="A1621" s="23">
        <v>45890.12066458333</v>
      </c>
      <c r="B1621" s="3" t="s">
        <v>329</v>
      </c>
      <c r="C1621" s="3" t="s">
        <v>722</v>
      </c>
      <c r="D1621" s="3" t="s">
        <v>115</v>
      </c>
      <c r="E1621" s="3" t="s">
        <v>328</v>
      </c>
    </row>
    <row r="1622">
      <c r="A1622" s="23">
        <v>45890.12066706018</v>
      </c>
      <c r="B1622" s="3" t="s">
        <v>329</v>
      </c>
      <c r="C1622" s="3" t="s">
        <v>497</v>
      </c>
      <c r="D1622" s="3" t="s">
        <v>115</v>
      </c>
      <c r="E1622" s="3" t="s">
        <v>328</v>
      </c>
    </row>
    <row r="1623">
      <c r="A1623" s="23">
        <v>45890.12067072917</v>
      </c>
      <c r="B1623" s="3" t="s">
        <v>329</v>
      </c>
      <c r="C1623" s="3" t="s">
        <v>342</v>
      </c>
      <c r="D1623" s="3" t="s">
        <v>115</v>
      </c>
      <c r="E1623" s="3" t="s">
        <v>328</v>
      </c>
    </row>
    <row r="1624">
      <c r="A1624" s="23">
        <v>45890.12067380787</v>
      </c>
      <c r="B1624" s="3" t="s">
        <v>329</v>
      </c>
      <c r="C1624" s="3" t="s">
        <v>498</v>
      </c>
      <c r="D1624" s="3" t="s">
        <v>115</v>
      </c>
      <c r="E1624" s="3" t="s">
        <v>328</v>
      </c>
    </row>
    <row r="1625">
      <c r="A1625" s="23">
        <v>45890.12068021991</v>
      </c>
      <c r="B1625" s="3" t="s">
        <v>329</v>
      </c>
      <c r="C1625" s="3" t="s">
        <v>499</v>
      </c>
      <c r="D1625" s="3" t="s">
        <v>115</v>
      </c>
      <c r="E1625" s="3" t="s">
        <v>328</v>
      </c>
    </row>
    <row r="1626">
      <c r="A1626" s="23">
        <v>45890.12068853009</v>
      </c>
      <c r="B1626" s="3" t="s">
        <v>329</v>
      </c>
      <c r="C1626" s="3" t="s">
        <v>534</v>
      </c>
      <c r="D1626" s="3" t="s">
        <v>115</v>
      </c>
      <c r="E1626" s="3" t="s">
        <v>328</v>
      </c>
    </row>
    <row r="1627">
      <c r="A1627" s="23">
        <v>45890.12069269676</v>
      </c>
      <c r="B1627" s="3" t="s">
        <v>329</v>
      </c>
      <c r="C1627" s="3" t="s">
        <v>535</v>
      </c>
      <c r="D1627" s="3" t="s">
        <v>115</v>
      </c>
      <c r="E1627" s="3" t="s">
        <v>328</v>
      </c>
    </row>
    <row r="1628">
      <c r="A1628" s="23">
        <v>45890.12069553241</v>
      </c>
      <c r="B1628" s="3" t="s">
        <v>329</v>
      </c>
      <c r="C1628" s="3" t="s">
        <v>536</v>
      </c>
      <c r="D1628" s="3" t="s">
        <v>115</v>
      </c>
      <c r="E1628" s="3" t="s">
        <v>328</v>
      </c>
    </row>
    <row r="1629">
      <c r="A1629" s="23">
        <v>45890.12069806713</v>
      </c>
      <c r="B1629" s="3" t="s">
        <v>329</v>
      </c>
      <c r="C1629" s="3" t="s">
        <v>502</v>
      </c>
      <c r="D1629" s="3" t="s">
        <v>115</v>
      </c>
      <c r="E1629" s="3" t="s">
        <v>328</v>
      </c>
    </row>
    <row r="1630">
      <c r="A1630" s="23">
        <v>45890.12073570602</v>
      </c>
      <c r="B1630" s="3" t="s">
        <v>329</v>
      </c>
      <c r="C1630" s="3" t="s">
        <v>600</v>
      </c>
      <c r="D1630" s="3" t="s">
        <v>624</v>
      </c>
      <c r="E1630" s="3" t="s">
        <v>328</v>
      </c>
    </row>
    <row r="1631">
      <c r="A1631" s="23">
        <v>45890.12073894676</v>
      </c>
      <c r="B1631" s="3" t="s">
        <v>329</v>
      </c>
      <c r="C1631" s="3" t="str">
        <f>== Finance Automation V10 Complete ===</f>
        <v>#ERROR!</v>
      </c>
      <c r="D1631" s="3" t="s">
        <v>723</v>
      </c>
      <c r="E1631" s="3" t="s">
        <v>328</v>
      </c>
    </row>
    <row r="1632">
      <c r="A1632" s="23">
        <v>45890.1271165625</v>
      </c>
      <c r="B1632" s="3" t="s">
        <v>325</v>
      </c>
      <c r="C1632" s="3" t="s">
        <v>113</v>
      </c>
      <c r="D1632" s="3" t="s">
        <v>724</v>
      </c>
      <c r="E1632" s="3" t="s">
        <v>328</v>
      </c>
    </row>
    <row r="1633">
      <c r="A1633" s="23">
        <v>45890.12712167824</v>
      </c>
      <c r="B1633" s="3" t="s">
        <v>325</v>
      </c>
      <c r="C1633" s="3" t="s">
        <v>116</v>
      </c>
      <c r="D1633" s="3" t="s">
        <v>725</v>
      </c>
      <c r="E1633" s="3" t="s">
        <v>328</v>
      </c>
    </row>
    <row r="1634">
      <c r="A1634" s="23">
        <v>45890.12922238426</v>
      </c>
      <c r="B1634" s="3" t="s">
        <v>325</v>
      </c>
      <c r="C1634" s="3" t="s">
        <v>113</v>
      </c>
      <c r="D1634" s="3" t="s">
        <v>724</v>
      </c>
      <c r="E1634" s="3" t="s">
        <v>328</v>
      </c>
    </row>
    <row r="1635">
      <c r="A1635" s="23">
        <v>45890.129228923615</v>
      </c>
      <c r="B1635" s="3" t="s">
        <v>325</v>
      </c>
      <c r="C1635" s="3" t="s">
        <v>116</v>
      </c>
      <c r="D1635" s="3" t="s">
        <v>725</v>
      </c>
      <c r="E1635" s="3" t="s">
        <v>328</v>
      </c>
    </row>
    <row r="1636">
      <c r="A1636" s="23">
        <v>45890.13032269676</v>
      </c>
      <c r="B1636" s="3" t="s">
        <v>329</v>
      </c>
      <c r="C1636" s="3" t="str">
        <f>== Starting Full Finance Automation V10 ===</f>
        <v>#ERROR!</v>
      </c>
      <c r="D1636" s="3" t="s">
        <v>115</v>
      </c>
      <c r="E1636" s="3" t="s">
        <v>328</v>
      </c>
    </row>
    <row r="1637">
      <c r="A1637" s="23">
        <v>45890.13032532408</v>
      </c>
      <c r="B1637" s="3" t="s">
        <v>329</v>
      </c>
      <c r="C1637" s="3" t="s">
        <v>336</v>
      </c>
      <c r="D1637" s="3" t="s">
        <v>115</v>
      </c>
      <c r="E1637" s="3" t="s">
        <v>328</v>
      </c>
    </row>
    <row r="1638">
      <c r="A1638" s="23">
        <v>45890.13032739583</v>
      </c>
      <c r="B1638" s="3" t="s">
        <v>329</v>
      </c>
      <c r="C1638" s="3" t="s">
        <v>633</v>
      </c>
      <c r="D1638" s="3" t="s">
        <v>115</v>
      </c>
      <c r="E1638" s="3" t="s">
        <v>328</v>
      </c>
    </row>
    <row r="1639">
      <c r="A1639" s="23">
        <v>45890.13033018519</v>
      </c>
      <c r="B1639" s="3" t="s">
        <v>329</v>
      </c>
      <c r="C1639" s="3" t="s">
        <v>634</v>
      </c>
      <c r="D1639" s="3" t="s">
        <v>115</v>
      </c>
      <c r="E1639" s="3" t="s">
        <v>328</v>
      </c>
    </row>
    <row r="1640">
      <c r="A1640" s="23">
        <v>45890.130333043984</v>
      </c>
      <c r="B1640" s="3" t="s">
        <v>329</v>
      </c>
      <c r="C1640" s="3" t="s">
        <v>635</v>
      </c>
      <c r="D1640" s="3" t="s">
        <v>115</v>
      </c>
      <c r="E1640" s="3" t="s">
        <v>328</v>
      </c>
    </row>
    <row r="1641">
      <c r="A1641" s="23">
        <v>45890.130335787035</v>
      </c>
      <c r="B1641" s="3" t="s">
        <v>329</v>
      </c>
      <c r="C1641" s="3" t="s">
        <v>636</v>
      </c>
      <c r="D1641" s="3" t="s">
        <v>115</v>
      </c>
      <c r="E1641" s="3" t="s">
        <v>328</v>
      </c>
    </row>
    <row r="1642">
      <c r="A1642" s="23">
        <v>45890.13033909722</v>
      </c>
      <c r="B1642" s="3" t="s">
        <v>329</v>
      </c>
      <c r="C1642" s="3" t="s">
        <v>637</v>
      </c>
      <c r="D1642" s="3" t="s">
        <v>115</v>
      </c>
      <c r="E1642" s="3" t="s">
        <v>328</v>
      </c>
    </row>
    <row r="1643">
      <c r="A1643" s="23">
        <v>45890.13034199074</v>
      </c>
      <c r="B1643" s="3" t="s">
        <v>329</v>
      </c>
      <c r="C1643" s="3" t="s">
        <v>638</v>
      </c>
      <c r="D1643" s="3" t="s">
        <v>115</v>
      </c>
      <c r="E1643" s="3" t="s">
        <v>328</v>
      </c>
    </row>
    <row r="1644">
      <c r="A1644" s="23">
        <v>45890.13034886574</v>
      </c>
      <c r="B1644" s="3" t="s">
        <v>329</v>
      </c>
      <c r="C1644" s="3" t="s">
        <v>639</v>
      </c>
      <c r="D1644" s="3" t="s">
        <v>115</v>
      </c>
      <c r="E1644" s="3" t="s">
        <v>328</v>
      </c>
    </row>
    <row r="1645">
      <c r="A1645" s="23">
        <v>45890.13035166667</v>
      </c>
      <c r="B1645" s="3" t="s">
        <v>329</v>
      </c>
      <c r="C1645" s="3" t="s">
        <v>652</v>
      </c>
      <c r="D1645" s="3" t="s">
        <v>115</v>
      </c>
      <c r="E1645" s="3" t="s">
        <v>328</v>
      </c>
    </row>
    <row r="1646">
      <c r="A1646" s="23">
        <v>45890.13035432871</v>
      </c>
      <c r="B1646" s="3" t="s">
        <v>329</v>
      </c>
      <c r="C1646" s="3" t="s">
        <v>643</v>
      </c>
      <c r="D1646" s="3" t="s">
        <v>115</v>
      </c>
      <c r="E1646" s="3" t="s">
        <v>328</v>
      </c>
    </row>
    <row r="1647">
      <c r="A1647" s="23">
        <v>45890.13035707176</v>
      </c>
      <c r="B1647" s="3" t="s">
        <v>329</v>
      </c>
      <c r="C1647" s="3" t="s">
        <v>653</v>
      </c>
      <c r="D1647" s="3" t="s">
        <v>115</v>
      </c>
      <c r="E1647" s="3" t="s">
        <v>328</v>
      </c>
    </row>
    <row r="1648">
      <c r="A1648" s="23">
        <v>45890.130359849536</v>
      </c>
      <c r="B1648" s="3" t="s">
        <v>329</v>
      </c>
      <c r="C1648" s="3" t="s">
        <v>654</v>
      </c>
      <c r="D1648" s="3" t="s">
        <v>115</v>
      </c>
      <c r="E1648" s="3" t="s">
        <v>328</v>
      </c>
    </row>
    <row r="1649">
      <c r="A1649" s="23">
        <v>45890.13036177083</v>
      </c>
      <c r="B1649" s="3" t="s">
        <v>329</v>
      </c>
      <c r="C1649" s="3" t="s">
        <v>459</v>
      </c>
      <c r="D1649" s="3" t="s">
        <v>115</v>
      </c>
      <c r="E1649" s="3" t="s">
        <v>328</v>
      </c>
    </row>
    <row r="1650">
      <c r="A1650" s="23">
        <v>45890.13036981481</v>
      </c>
      <c r="B1650" s="3" t="s">
        <v>329</v>
      </c>
      <c r="C1650" s="3" t="s">
        <v>661</v>
      </c>
      <c r="D1650" s="3" t="s">
        <v>115</v>
      </c>
      <c r="E1650" s="3" t="s">
        <v>328</v>
      </c>
    </row>
    <row r="1651">
      <c r="A1651" s="23">
        <v>45890.130373576394</v>
      </c>
      <c r="B1651" s="3" t="s">
        <v>329</v>
      </c>
      <c r="C1651" s="3" t="s">
        <v>649</v>
      </c>
      <c r="D1651" s="3" t="s">
        <v>662</v>
      </c>
      <c r="E1651" s="3" t="s">
        <v>328</v>
      </c>
    </row>
    <row r="1652">
      <c r="A1652" s="23">
        <v>45890.13037560185</v>
      </c>
      <c r="B1652" s="3" t="s">
        <v>329</v>
      </c>
      <c r="C1652" s="3" t="s">
        <v>626</v>
      </c>
      <c r="D1652" s="3" t="s">
        <v>663</v>
      </c>
      <c r="E1652" s="3" t="s">
        <v>328</v>
      </c>
    </row>
    <row r="1653">
      <c r="A1653" s="23">
        <v>45890.130377615744</v>
      </c>
      <c r="B1653" s="3" t="s">
        <v>329</v>
      </c>
      <c r="C1653" s="3" t="s">
        <v>701</v>
      </c>
      <c r="D1653" s="3" t="s">
        <v>702</v>
      </c>
      <c r="E1653" s="3" t="s">
        <v>328</v>
      </c>
    </row>
    <row r="1654">
      <c r="A1654" s="23">
        <v>45890.13038270833</v>
      </c>
      <c r="B1654" s="3" t="s">
        <v>329</v>
      </c>
      <c r="C1654" s="3" t="s">
        <v>626</v>
      </c>
      <c r="D1654" s="3" t="s">
        <v>663</v>
      </c>
      <c r="E1654" s="3" t="s">
        <v>328</v>
      </c>
    </row>
    <row r="1655">
      <c r="A1655" s="23">
        <v>45890.13038479167</v>
      </c>
      <c r="B1655" s="3" t="s">
        <v>329</v>
      </c>
      <c r="C1655" s="3" t="s">
        <v>701</v>
      </c>
      <c r="D1655" s="3" t="s">
        <v>702</v>
      </c>
      <c r="E1655" s="3" t="s">
        <v>328</v>
      </c>
    </row>
    <row r="1656">
      <c r="A1656" s="23">
        <v>45890.130386944445</v>
      </c>
      <c r="B1656" s="3" t="s">
        <v>329</v>
      </c>
      <c r="C1656" s="3" t="s">
        <v>594</v>
      </c>
      <c r="D1656" s="3" t="s">
        <v>664</v>
      </c>
      <c r="E1656" s="3" t="s">
        <v>328</v>
      </c>
    </row>
    <row r="1657">
      <c r="A1657" s="23">
        <v>45890.13040391204</v>
      </c>
      <c r="B1657" s="3" t="s">
        <v>325</v>
      </c>
      <c r="C1657" s="3" t="s">
        <v>104</v>
      </c>
      <c r="D1657" s="3" t="s">
        <v>703</v>
      </c>
      <c r="E1657" s="3" t="s">
        <v>328</v>
      </c>
    </row>
    <row r="1658">
      <c r="A1658" s="23">
        <v>45890.13041024306</v>
      </c>
      <c r="B1658" s="3" t="s">
        <v>329</v>
      </c>
      <c r="C1658" s="3" t="s">
        <v>704</v>
      </c>
      <c r="D1658" s="3" t="s">
        <v>705</v>
      </c>
      <c r="E1658" s="3" t="s">
        <v>328</v>
      </c>
    </row>
    <row r="1659">
      <c r="A1659" s="23">
        <v>45890.1304140162</v>
      </c>
      <c r="B1659" s="3" t="s">
        <v>329</v>
      </c>
      <c r="C1659" s="3" t="s">
        <v>649</v>
      </c>
      <c r="D1659" s="3" t="s">
        <v>665</v>
      </c>
      <c r="E1659" s="3" t="s">
        <v>328</v>
      </c>
    </row>
    <row r="1660">
      <c r="A1660" s="23">
        <v>45890.13042019676</v>
      </c>
      <c r="B1660" s="3" t="s">
        <v>329</v>
      </c>
      <c r="C1660" s="3" t="s">
        <v>626</v>
      </c>
      <c r="D1660" s="3" t="s">
        <v>666</v>
      </c>
      <c r="E1660" s="3" t="s">
        <v>328</v>
      </c>
    </row>
    <row r="1661">
      <c r="A1661" s="23">
        <v>45890.13042806713</v>
      </c>
      <c r="B1661" s="3" t="s">
        <v>329</v>
      </c>
      <c r="C1661" s="3" t="s">
        <v>701</v>
      </c>
      <c r="D1661" s="3" t="s">
        <v>702</v>
      </c>
      <c r="E1661" s="3" t="s">
        <v>328</v>
      </c>
    </row>
    <row r="1662">
      <c r="A1662" s="23">
        <v>45890.13042998842</v>
      </c>
      <c r="B1662" s="3" t="s">
        <v>329</v>
      </c>
      <c r="C1662" s="3" t="s">
        <v>626</v>
      </c>
      <c r="D1662" s="3" t="s">
        <v>666</v>
      </c>
      <c r="E1662" s="3" t="s">
        <v>328</v>
      </c>
    </row>
    <row r="1663">
      <c r="A1663" s="23">
        <v>45890.13043269676</v>
      </c>
      <c r="B1663" s="3" t="s">
        <v>329</v>
      </c>
      <c r="C1663" s="3" t="s">
        <v>701</v>
      </c>
      <c r="D1663" s="3" t="s">
        <v>702</v>
      </c>
      <c r="E1663" s="3" t="s">
        <v>328</v>
      </c>
    </row>
    <row r="1664">
      <c r="A1664" s="23">
        <v>45890.13043481481</v>
      </c>
      <c r="B1664" s="3" t="s">
        <v>329</v>
      </c>
      <c r="C1664" s="3" t="s">
        <v>594</v>
      </c>
      <c r="D1664" s="3" t="s">
        <v>667</v>
      </c>
      <c r="E1664" s="3" t="s">
        <v>328</v>
      </c>
    </row>
    <row r="1665">
      <c r="A1665" s="23">
        <v>45890.130440231485</v>
      </c>
      <c r="B1665" s="3" t="s">
        <v>325</v>
      </c>
      <c r="C1665" s="3" t="s">
        <v>706</v>
      </c>
      <c r="D1665" s="3" t="s">
        <v>707</v>
      </c>
      <c r="E1665" s="3" t="s">
        <v>328</v>
      </c>
    </row>
    <row r="1666">
      <c r="A1666" s="23">
        <v>45890.1307228125</v>
      </c>
      <c r="B1666" s="3" t="s">
        <v>329</v>
      </c>
      <c r="C1666" s="3" t="s">
        <v>596</v>
      </c>
      <c r="D1666" s="3" t="s">
        <v>667</v>
      </c>
      <c r="E1666" s="3" t="s">
        <v>328</v>
      </c>
    </row>
    <row r="1667">
      <c r="A1667" s="23">
        <v>45890.13073002315</v>
      </c>
      <c r="B1667" s="3" t="s">
        <v>329</v>
      </c>
      <c r="C1667" s="3" t="s">
        <v>649</v>
      </c>
      <c r="D1667" s="3" t="s">
        <v>650</v>
      </c>
      <c r="E1667" s="3" t="s">
        <v>328</v>
      </c>
    </row>
    <row r="1668">
      <c r="A1668" s="23">
        <v>45890.130731990736</v>
      </c>
      <c r="B1668" s="3" t="s">
        <v>329</v>
      </c>
      <c r="C1668" s="3" t="s">
        <v>626</v>
      </c>
      <c r="D1668" s="3" t="s">
        <v>627</v>
      </c>
      <c r="E1668" s="3" t="s">
        <v>328</v>
      </c>
    </row>
    <row r="1669">
      <c r="A1669" s="23">
        <v>45890.13073395833</v>
      </c>
      <c r="B1669" s="3" t="s">
        <v>329</v>
      </c>
      <c r="C1669" s="3" t="s">
        <v>708</v>
      </c>
      <c r="D1669" s="3" t="s">
        <v>709</v>
      </c>
      <c r="E1669" s="3" t="s">
        <v>328</v>
      </c>
    </row>
    <row r="1670">
      <c r="A1670" s="23">
        <v>45890.13073611111</v>
      </c>
      <c r="B1670" s="3" t="s">
        <v>329</v>
      </c>
      <c r="C1670" s="3" t="s">
        <v>626</v>
      </c>
      <c r="D1670" s="3" t="s">
        <v>627</v>
      </c>
      <c r="E1670" s="3" t="s">
        <v>328</v>
      </c>
    </row>
    <row r="1671">
      <c r="A1671" s="23">
        <v>45890.130738078704</v>
      </c>
      <c r="B1671" s="3" t="s">
        <v>329</v>
      </c>
      <c r="C1671" s="3" t="s">
        <v>708</v>
      </c>
      <c r="D1671" s="3" t="s">
        <v>709</v>
      </c>
      <c r="E1671" s="3" t="s">
        <v>328</v>
      </c>
    </row>
    <row r="1672">
      <c r="A1672" s="23">
        <v>45890.1307400463</v>
      </c>
      <c r="B1672" s="3" t="s">
        <v>329</v>
      </c>
      <c r="C1672" s="3" t="s">
        <v>615</v>
      </c>
      <c r="D1672" s="3" t="s">
        <v>609</v>
      </c>
      <c r="E1672" s="3" t="s">
        <v>328</v>
      </c>
    </row>
    <row r="1673">
      <c r="A1673" s="23">
        <v>45890.13074222222</v>
      </c>
      <c r="B1673" s="3" t="s">
        <v>329</v>
      </c>
      <c r="C1673" s="3" t="s">
        <v>710</v>
      </c>
      <c r="D1673" s="3" t="s">
        <v>711</v>
      </c>
      <c r="E1673" s="3" t="s">
        <v>328</v>
      </c>
    </row>
    <row r="1674">
      <c r="A1674" s="23">
        <v>45890.13074415509</v>
      </c>
      <c r="B1674" s="3" t="s">
        <v>329</v>
      </c>
      <c r="C1674" s="3" t="s">
        <v>712</v>
      </c>
      <c r="D1674" s="3" t="s">
        <v>713</v>
      </c>
      <c r="E1674" s="3" t="s">
        <v>328</v>
      </c>
    </row>
    <row r="1675">
      <c r="A1675" s="23">
        <v>45890.1307462963</v>
      </c>
      <c r="B1675" s="3" t="s">
        <v>329</v>
      </c>
      <c r="C1675" s="3" t="s">
        <v>714</v>
      </c>
      <c r="D1675" s="3" t="s">
        <v>115</v>
      </c>
      <c r="E1675" s="3" t="s">
        <v>328</v>
      </c>
    </row>
    <row r="1676">
      <c r="A1676" s="23">
        <v>45890.130748344905</v>
      </c>
      <c r="B1676" s="3" t="s">
        <v>329</v>
      </c>
      <c r="C1676" s="3" t="s">
        <v>715</v>
      </c>
      <c r="D1676" s="3" t="s">
        <v>716</v>
      </c>
      <c r="E1676" s="3" t="s">
        <v>328</v>
      </c>
    </row>
    <row r="1677">
      <c r="A1677" s="23">
        <v>45890.13078090278</v>
      </c>
      <c r="B1677" s="3" t="s">
        <v>325</v>
      </c>
      <c r="C1677" s="3" t="s">
        <v>104</v>
      </c>
      <c r="D1677" s="3" t="s">
        <v>717</v>
      </c>
      <c r="E1677" s="3" t="s">
        <v>328</v>
      </c>
    </row>
    <row r="1678">
      <c r="A1678" s="23">
        <v>45890.13078472222</v>
      </c>
      <c r="B1678" s="3" t="s">
        <v>329</v>
      </c>
      <c r="C1678" s="3" t="s">
        <v>718</v>
      </c>
      <c r="D1678" s="3" t="s">
        <v>719</v>
      </c>
      <c r="E1678" s="3" t="s">
        <v>328</v>
      </c>
    </row>
    <row r="1679">
      <c r="A1679" s="23">
        <v>45890.13080375</v>
      </c>
      <c r="B1679" s="3" t="s">
        <v>329</v>
      </c>
      <c r="C1679" s="3" t="s">
        <v>649</v>
      </c>
      <c r="D1679" s="3" t="s">
        <v>655</v>
      </c>
      <c r="E1679" s="3" t="s">
        <v>328</v>
      </c>
    </row>
    <row r="1680">
      <c r="A1680" s="23">
        <v>45890.13080572917</v>
      </c>
      <c r="B1680" s="3" t="s">
        <v>329</v>
      </c>
      <c r="C1680" s="3" t="s">
        <v>626</v>
      </c>
      <c r="D1680" s="3" t="s">
        <v>629</v>
      </c>
      <c r="E1680" s="3" t="s">
        <v>328</v>
      </c>
    </row>
    <row r="1681">
      <c r="A1681" s="23">
        <v>45890.1308077662</v>
      </c>
      <c r="B1681" s="3" t="s">
        <v>329</v>
      </c>
      <c r="C1681" s="3" t="s">
        <v>701</v>
      </c>
      <c r="D1681" s="3" t="s">
        <v>702</v>
      </c>
      <c r="E1681" s="3" t="s">
        <v>328</v>
      </c>
    </row>
    <row r="1682">
      <c r="A1682" s="23">
        <v>45890.13081615741</v>
      </c>
      <c r="B1682" s="3" t="s">
        <v>329</v>
      </c>
      <c r="C1682" s="3" t="s">
        <v>626</v>
      </c>
      <c r="D1682" s="3" t="s">
        <v>629</v>
      </c>
      <c r="E1682" s="3" t="s">
        <v>328</v>
      </c>
    </row>
    <row r="1683">
      <c r="A1683" s="23">
        <v>45890.130818749996</v>
      </c>
      <c r="B1683" s="3" t="s">
        <v>329</v>
      </c>
      <c r="C1683" s="3" t="s">
        <v>701</v>
      </c>
      <c r="D1683" s="3" t="s">
        <v>702</v>
      </c>
      <c r="E1683" s="3" t="s">
        <v>328</v>
      </c>
    </row>
    <row r="1684">
      <c r="A1684" s="23">
        <v>45890.13082938657</v>
      </c>
      <c r="B1684" s="3" t="s">
        <v>329</v>
      </c>
      <c r="C1684" s="3" t="s">
        <v>594</v>
      </c>
      <c r="D1684" s="3" t="s">
        <v>595</v>
      </c>
      <c r="E1684" s="3" t="s">
        <v>328</v>
      </c>
    </row>
    <row r="1685">
      <c r="A1685" s="23">
        <v>45890.13083783565</v>
      </c>
      <c r="B1685" s="3" t="s">
        <v>325</v>
      </c>
      <c r="C1685" s="3" t="s">
        <v>706</v>
      </c>
      <c r="D1685" s="3" t="s">
        <v>707</v>
      </c>
      <c r="E1685" s="3" t="s">
        <v>328</v>
      </c>
    </row>
    <row r="1686">
      <c r="A1686" s="23">
        <v>45890.131039618056</v>
      </c>
      <c r="B1686" s="3" t="s">
        <v>329</v>
      </c>
      <c r="C1686" s="3" t="s">
        <v>596</v>
      </c>
      <c r="D1686" s="3" t="s">
        <v>595</v>
      </c>
      <c r="E1686" s="3" t="s">
        <v>328</v>
      </c>
    </row>
    <row r="1687">
      <c r="A1687" s="23">
        <v>45890.13104337963</v>
      </c>
      <c r="B1687" s="3" t="s">
        <v>329</v>
      </c>
      <c r="C1687" s="3" t="s">
        <v>649</v>
      </c>
      <c r="D1687" s="3" t="s">
        <v>656</v>
      </c>
      <c r="E1687" s="3" t="s">
        <v>328</v>
      </c>
    </row>
    <row r="1688">
      <c r="A1688" s="23">
        <v>45890.131045358794</v>
      </c>
      <c r="B1688" s="3" t="s">
        <v>329</v>
      </c>
      <c r="C1688" s="3" t="s">
        <v>626</v>
      </c>
      <c r="D1688" s="3" t="s">
        <v>630</v>
      </c>
      <c r="E1688" s="3" t="s">
        <v>328</v>
      </c>
    </row>
    <row r="1689">
      <c r="A1689" s="23">
        <v>45890.13104799768</v>
      </c>
      <c r="B1689" s="3" t="s">
        <v>329</v>
      </c>
      <c r="C1689" s="3" t="s">
        <v>701</v>
      </c>
      <c r="D1689" s="3" t="s">
        <v>702</v>
      </c>
      <c r="E1689" s="3" t="s">
        <v>328</v>
      </c>
    </row>
    <row r="1690">
      <c r="A1690" s="23">
        <v>45890.1310499074</v>
      </c>
      <c r="B1690" s="3" t="s">
        <v>329</v>
      </c>
      <c r="C1690" s="3" t="s">
        <v>626</v>
      </c>
      <c r="D1690" s="3" t="s">
        <v>630</v>
      </c>
      <c r="E1690" s="3" t="s">
        <v>328</v>
      </c>
    </row>
    <row r="1691">
      <c r="A1691" s="23">
        <v>45890.13105214121</v>
      </c>
      <c r="B1691" s="3" t="s">
        <v>329</v>
      </c>
      <c r="C1691" s="3" t="s">
        <v>701</v>
      </c>
      <c r="D1691" s="3" t="s">
        <v>702</v>
      </c>
      <c r="E1691" s="3" t="s">
        <v>328</v>
      </c>
    </row>
    <row r="1692">
      <c r="A1692" s="23">
        <v>45890.131054074074</v>
      </c>
      <c r="B1692" s="3" t="s">
        <v>329</v>
      </c>
      <c r="C1692" s="3" t="s">
        <v>594</v>
      </c>
      <c r="D1692" s="3" t="s">
        <v>597</v>
      </c>
      <c r="E1692" s="3" t="s">
        <v>328</v>
      </c>
    </row>
    <row r="1693">
      <c r="A1693" s="23">
        <v>45890.131059629624</v>
      </c>
      <c r="B1693" s="3" t="s">
        <v>325</v>
      </c>
      <c r="C1693" s="3" t="s">
        <v>706</v>
      </c>
      <c r="D1693" s="3" t="s">
        <v>707</v>
      </c>
      <c r="E1693" s="3" t="s">
        <v>328</v>
      </c>
    </row>
    <row r="1694">
      <c r="A1694" s="23">
        <v>45890.131176435185</v>
      </c>
      <c r="B1694" s="3" t="s">
        <v>329</v>
      </c>
      <c r="C1694" s="3" t="s">
        <v>596</v>
      </c>
      <c r="D1694" s="3" t="s">
        <v>597</v>
      </c>
      <c r="E1694" s="3" t="s">
        <v>328</v>
      </c>
    </row>
    <row r="1695">
      <c r="A1695" s="23">
        <v>45890.1311853588</v>
      </c>
      <c r="B1695" s="3" t="s">
        <v>329</v>
      </c>
      <c r="C1695" s="3" t="s">
        <v>649</v>
      </c>
      <c r="D1695" s="3" t="s">
        <v>657</v>
      </c>
      <c r="E1695" s="3" t="s">
        <v>328</v>
      </c>
    </row>
    <row r="1696">
      <c r="A1696" s="23">
        <v>45890.13118722222</v>
      </c>
      <c r="B1696" s="3" t="s">
        <v>329</v>
      </c>
      <c r="C1696" s="3" t="s">
        <v>626</v>
      </c>
      <c r="D1696" s="3" t="s">
        <v>631</v>
      </c>
      <c r="E1696" s="3" t="s">
        <v>328</v>
      </c>
    </row>
    <row r="1697">
      <c r="A1697" s="23">
        <v>45890.13119090278</v>
      </c>
      <c r="B1697" s="3" t="s">
        <v>329</v>
      </c>
      <c r="C1697" s="3" t="s">
        <v>720</v>
      </c>
      <c r="D1697" s="3" t="s">
        <v>721</v>
      </c>
      <c r="E1697" s="3" t="s">
        <v>328</v>
      </c>
    </row>
    <row r="1698">
      <c r="A1698" s="23">
        <v>45890.13119289352</v>
      </c>
      <c r="B1698" s="3" t="s">
        <v>329</v>
      </c>
      <c r="C1698" s="3" t="s">
        <v>626</v>
      </c>
      <c r="D1698" s="3" t="s">
        <v>631</v>
      </c>
      <c r="E1698" s="3" t="s">
        <v>328</v>
      </c>
    </row>
    <row r="1699">
      <c r="A1699" s="23">
        <v>45890.13119960648</v>
      </c>
      <c r="B1699" s="3" t="s">
        <v>329</v>
      </c>
      <c r="C1699" s="3" t="s">
        <v>720</v>
      </c>
      <c r="D1699" s="3" t="s">
        <v>721</v>
      </c>
      <c r="E1699" s="3" t="s">
        <v>328</v>
      </c>
    </row>
    <row r="1700">
      <c r="A1700" s="23">
        <v>45890.1312016088</v>
      </c>
      <c r="B1700" s="3" t="s">
        <v>329</v>
      </c>
      <c r="C1700" s="3" t="s">
        <v>598</v>
      </c>
      <c r="D1700" s="3" t="s">
        <v>599</v>
      </c>
      <c r="E1700" s="3" t="s">
        <v>328</v>
      </c>
    </row>
    <row r="1701">
      <c r="A1701" s="23">
        <v>45890.13120900463</v>
      </c>
      <c r="B1701" s="3" t="s">
        <v>325</v>
      </c>
      <c r="C1701" s="3" t="s">
        <v>706</v>
      </c>
      <c r="D1701" s="3" t="s">
        <v>707</v>
      </c>
      <c r="E1701" s="3" t="s">
        <v>328</v>
      </c>
    </row>
    <row r="1702">
      <c r="A1702" s="23">
        <v>45890.131340162035</v>
      </c>
      <c r="B1702" s="3" t="s">
        <v>329</v>
      </c>
      <c r="C1702" s="3" t="s">
        <v>596</v>
      </c>
      <c r="D1702" s="3" t="s">
        <v>599</v>
      </c>
      <c r="E1702" s="3" t="s">
        <v>328</v>
      </c>
    </row>
    <row r="1703">
      <c r="A1703" s="23">
        <v>45890.131348379626</v>
      </c>
      <c r="B1703" s="3" t="s">
        <v>329</v>
      </c>
      <c r="C1703" s="3" t="s">
        <v>338</v>
      </c>
      <c r="D1703" s="3" t="s">
        <v>496</v>
      </c>
      <c r="E1703" s="3" t="s">
        <v>328</v>
      </c>
    </row>
    <row r="1704">
      <c r="A1704" s="23">
        <v>45890.131353854165</v>
      </c>
      <c r="B1704" s="3" t="s">
        <v>329</v>
      </c>
      <c r="C1704" s="3" t="s">
        <v>722</v>
      </c>
      <c r="D1704" s="3" t="s">
        <v>115</v>
      </c>
      <c r="E1704" s="3" t="s">
        <v>328</v>
      </c>
    </row>
    <row r="1705">
      <c r="A1705" s="23">
        <v>45890.1313559375</v>
      </c>
      <c r="B1705" s="3" t="s">
        <v>329</v>
      </c>
      <c r="C1705" s="3" t="s">
        <v>497</v>
      </c>
      <c r="D1705" s="3" t="s">
        <v>115</v>
      </c>
      <c r="E1705" s="3" t="s">
        <v>328</v>
      </c>
    </row>
    <row r="1706">
      <c r="A1706" s="23">
        <v>45890.131360300926</v>
      </c>
      <c r="B1706" s="3" t="s">
        <v>329</v>
      </c>
      <c r="C1706" s="3" t="s">
        <v>342</v>
      </c>
      <c r="D1706" s="3" t="s">
        <v>115</v>
      </c>
      <c r="E1706" s="3" t="s">
        <v>328</v>
      </c>
    </row>
    <row r="1707">
      <c r="A1707" s="23">
        <v>45890.13136230324</v>
      </c>
      <c r="B1707" s="3" t="s">
        <v>329</v>
      </c>
      <c r="C1707" s="3" t="s">
        <v>498</v>
      </c>
      <c r="D1707" s="3" t="s">
        <v>115</v>
      </c>
      <c r="E1707" s="3" t="s">
        <v>328</v>
      </c>
    </row>
    <row r="1708">
      <c r="A1708" s="23">
        <v>45890.131365416666</v>
      </c>
      <c r="B1708" s="3" t="s">
        <v>329</v>
      </c>
      <c r="C1708" s="3" t="s">
        <v>499</v>
      </c>
      <c r="D1708" s="3" t="s">
        <v>115</v>
      </c>
      <c r="E1708" s="3" t="s">
        <v>328</v>
      </c>
    </row>
    <row r="1709">
      <c r="A1709" s="23">
        <v>45890.13137256945</v>
      </c>
      <c r="B1709" s="3" t="s">
        <v>329</v>
      </c>
      <c r="C1709" s="3" t="s">
        <v>534</v>
      </c>
      <c r="D1709" s="3" t="s">
        <v>115</v>
      </c>
      <c r="E1709" s="3" t="s">
        <v>328</v>
      </c>
    </row>
    <row r="1710">
      <c r="A1710" s="23">
        <v>45890.13137708334</v>
      </c>
      <c r="B1710" s="3" t="s">
        <v>329</v>
      </c>
      <c r="C1710" s="3" t="s">
        <v>535</v>
      </c>
      <c r="D1710" s="3" t="s">
        <v>115</v>
      </c>
      <c r="E1710" s="3" t="s">
        <v>328</v>
      </c>
    </row>
    <row r="1711">
      <c r="A1711" s="23">
        <v>45890.13137909722</v>
      </c>
      <c r="B1711" s="3" t="s">
        <v>329</v>
      </c>
      <c r="C1711" s="3" t="s">
        <v>536</v>
      </c>
      <c r="D1711" s="3" t="s">
        <v>115</v>
      </c>
      <c r="E1711" s="3" t="s">
        <v>328</v>
      </c>
    </row>
    <row r="1712">
      <c r="A1712" s="23">
        <v>45890.131381134255</v>
      </c>
      <c r="B1712" s="3" t="s">
        <v>329</v>
      </c>
      <c r="C1712" s="3" t="s">
        <v>502</v>
      </c>
      <c r="D1712" s="3" t="s">
        <v>115</v>
      </c>
      <c r="E1712" s="3" t="s">
        <v>328</v>
      </c>
    </row>
    <row r="1713">
      <c r="A1713" s="23">
        <v>45890.131405532404</v>
      </c>
      <c r="B1713" s="3" t="s">
        <v>329</v>
      </c>
      <c r="C1713" s="3" t="s">
        <v>600</v>
      </c>
      <c r="D1713" s="3" t="s">
        <v>624</v>
      </c>
      <c r="E1713" s="3" t="s">
        <v>328</v>
      </c>
    </row>
    <row r="1714">
      <c r="A1714" s="23">
        <v>45890.13140753472</v>
      </c>
      <c r="B1714" s="3" t="s">
        <v>329</v>
      </c>
      <c r="C1714" s="3" t="str">
        <f>== Finance Automation V10 Complete ===</f>
        <v>#ERROR!</v>
      </c>
      <c r="D1714" s="3" t="s">
        <v>726</v>
      </c>
      <c r="E1714" s="3" t="s">
        <v>328</v>
      </c>
    </row>
    <row r="1715">
      <c r="A1715" s="23">
        <v>45890.137896064814</v>
      </c>
      <c r="B1715" s="3" t="s">
        <v>329</v>
      </c>
      <c r="C1715" s="3" t="s">
        <v>727</v>
      </c>
      <c r="D1715" s="3" t="s">
        <v>115</v>
      </c>
      <c r="E1715" s="3" t="s">
        <v>328</v>
      </c>
    </row>
    <row r="1716">
      <c r="A1716" s="23">
        <v>45890.1378996875</v>
      </c>
      <c r="B1716" s="3" t="s">
        <v>329</v>
      </c>
      <c r="C1716" s="3" t="s">
        <v>728</v>
      </c>
      <c r="D1716" s="3" t="s">
        <v>115</v>
      </c>
      <c r="E1716" s="3" t="s">
        <v>328</v>
      </c>
    </row>
    <row r="1717">
      <c r="A1717" s="23">
        <v>45890.137956516206</v>
      </c>
      <c r="B1717" s="3" t="s">
        <v>329</v>
      </c>
      <c r="C1717" s="3" t="s">
        <v>729</v>
      </c>
      <c r="D1717" s="3" t="s">
        <v>115</v>
      </c>
      <c r="E1717" s="3" t="s">
        <v>328</v>
      </c>
    </row>
    <row r="1718">
      <c r="A1718" s="23">
        <v>45890.13795863426</v>
      </c>
      <c r="B1718" s="3" t="s">
        <v>329</v>
      </c>
      <c r="C1718" s="3" t="s">
        <v>730</v>
      </c>
      <c r="D1718" s="3" t="s">
        <v>115</v>
      </c>
      <c r="E1718" s="3" t="s">
        <v>328</v>
      </c>
    </row>
    <row r="1719">
      <c r="A1719" s="23">
        <v>45890.13796085648</v>
      </c>
      <c r="B1719" s="3" t="s">
        <v>329</v>
      </c>
      <c r="C1719" s="3" t="s">
        <v>731</v>
      </c>
      <c r="D1719" s="3" t="s">
        <v>115</v>
      </c>
      <c r="E1719" s="3" t="s">
        <v>328</v>
      </c>
    </row>
    <row r="1720">
      <c r="A1720" s="23">
        <v>45890.13797296296</v>
      </c>
      <c r="B1720" s="3" t="s">
        <v>329</v>
      </c>
      <c r="C1720" s="3" t="s">
        <v>732</v>
      </c>
      <c r="D1720" s="3" t="s">
        <v>115</v>
      </c>
      <c r="E1720" s="3" t="s">
        <v>328</v>
      </c>
    </row>
    <row r="1721">
      <c r="A1721" s="23">
        <v>45890.47254106481</v>
      </c>
      <c r="B1721" s="3" t="s">
        <v>329</v>
      </c>
      <c r="C1721" s="3" t="str">
        <f>== Starting Full Finance Automation V10 ===</f>
        <v>#ERROR!</v>
      </c>
      <c r="D1721" s="3" t="s">
        <v>115</v>
      </c>
      <c r="E1721" s="3" t="s">
        <v>328</v>
      </c>
    </row>
    <row r="1722">
      <c r="A1722" s="23">
        <v>45890.47254747685</v>
      </c>
      <c r="B1722" s="3" t="s">
        <v>329</v>
      </c>
      <c r="C1722" s="3" t="s">
        <v>336</v>
      </c>
      <c r="D1722" s="3" t="s">
        <v>115</v>
      </c>
      <c r="E1722" s="3" t="s">
        <v>328</v>
      </c>
    </row>
    <row r="1723">
      <c r="A1723" s="23">
        <v>45890.47256342592</v>
      </c>
      <c r="B1723" s="3" t="s">
        <v>329</v>
      </c>
      <c r="C1723" s="3" t="s">
        <v>633</v>
      </c>
      <c r="D1723" s="3" t="s">
        <v>115</v>
      </c>
      <c r="E1723" s="3" t="s">
        <v>328</v>
      </c>
    </row>
    <row r="1724">
      <c r="A1724" s="23">
        <v>45890.47256712963</v>
      </c>
      <c r="B1724" s="3" t="s">
        <v>329</v>
      </c>
      <c r="C1724" s="3" t="s">
        <v>634</v>
      </c>
      <c r="D1724" s="3" t="s">
        <v>115</v>
      </c>
      <c r="E1724" s="3" t="s">
        <v>328</v>
      </c>
    </row>
    <row r="1725">
      <c r="A1725" s="23">
        <v>45890.47256987268</v>
      </c>
      <c r="B1725" s="3" t="s">
        <v>329</v>
      </c>
      <c r="C1725" s="3" t="s">
        <v>635</v>
      </c>
      <c r="D1725" s="3" t="s">
        <v>115</v>
      </c>
      <c r="E1725" s="3" t="s">
        <v>328</v>
      </c>
    </row>
    <row r="1726">
      <c r="A1726" s="23">
        <v>45890.47257563657</v>
      </c>
      <c r="B1726" s="3" t="s">
        <v>329</v>
      </c>
      <c r="C1726" s="3" t="s">
        <v>636</v>
      </c>
      <c r="D1726" s="3" t="s">
        <v>115</v>
      </c>
      <c r="E1726" s="3" t="s">
        <v>328</v>
      </c>
    </row>
    <row r="1727">
      <c r="A1727" s="23">
        <v>45890.47258162037</v>
      </c>
      <c r="B1727" s="3" t="s">
        <v>329</v>
      </c>
      <c r="C1727" s="3" t="s">
        <v>637</v>
      </c>
      <c r="D1727" s="3" t="s">
        <v>115</v>
      </c>
      <c r="E1727" s="3" t="s">
        <v>328</v>
      </c>
    </row>
    <row r="1728">
      <c r="A1728" s="23">
        <v>45890.47258425926</v>
      </c>
      <c r="B1728" s="3" t="s">
        <v>329</v>
      </c>
      <c r="C1728" s="3" t="s">
        <v>638</v>
      </c>
      <c r="D1728" s="3" t="s">
        <v>115</v>
      </c>
      <c r="E1728" s="3" t="s">
        <v>328</v>
      </c>
    </row>
    <row r="1729">
      <c r="A1729" s="23">
        <v>45890.472587233795</v>
      </c>
      <c r="B1729" s="3" t="s">
        <v>329</v>
      </c>
      <c r="C1729" s="3" t="s">
        <v>639</v>
      </c>
      <c r="D1729" s="3" t="s">
        <v>115</v>
      </c>
      <c r="E1729" s="3" t="s">
        <v>328</v>
      </c>
    </row>
    <row r="1730">
      <c r="A1730" s="23">
        <v>45890.472590694444</v>
      </c>
      <c r="B1730" s="3" t="s">
        <v>329</v>
      </c>
      <c r="C1730" s="3" t="s">
        <v>652</v>
      </c>
      <c r="D1730" s="3" t="s">
        <v>115</v>
      </c>
      <c r="E1730" s="3" t="s">
        <v>328</v>
      </c>
    </row>
    <row r="1731">
      <c r="A1731" s="23">
        <v>45890.472593275466</v>
      </c>
      <c r="B1731" s="3" t="s">
        <v>329</v>
      </c>
      <c r="C1731" s="3" t="s">
        <v>643</v>
      </c>
      <c r="D1731" s="3" t="s">
        <v>115</v>
      </c>
      <c r="E1731" s="3" t="s">
        <v>328</v>
      </c>
    </row>
    <row r="1732">
      <c r="A1732" s="23">
        <v>45890.47261935185</v>
      </c>
      <c r="B1732" s="3" t="s">
        <v>329</v>
      </c>
      <c r="C1732" s="3" t="s">
        <v>644</v>
      </c>
      <c r="D1732" s="3" t="s">
        <v>115</v>
      </c>
      <c r="E1732" s="3" t="s">
        <v>328</v>
      </c>
    </row>
    <row r="1733">
      <c r="A1733" s="23">
        <v>45890.472621967594</v>
      </c>
      <c r="B1733" s="3" t="s">
        <v>329</v>
      </c>
      <c r="C1733" s="3" t="s">
        <v>645</v>
      </c>
      <c r="D1733" s="3" t="s">
        <v>115</v>
      </c>
      <c r="E1733" s="3" t="s">
        <v>328</v>
      </c>
    </row>
    <row r="1734">
      <c r="A1734" s="23">
        <v>45890.47262752315</v>
      </c>
      <c r="B1734" s="3" t="s">
        <v>329</v>
      </c>
      <c r="C1734" s="3" t="s">
        <v>654</v>
      </c>
      <c r="D1734" s="3" t="s">
        <v>115</v>
      </c>
      <c r="E1734" s="3" t="s">
        <v>328</v>
      </c>
    </row>
    <row r="1735">
      <c r="A1735" s="23">
        <v>45890.47262958333</v>
      </c>
      <c r="B1735" s="3" t="s">
        <v>329</v>
      </c>
      <c r="C1735" s="3" t="s">
        <v>459</v>
      </c>
      <c r="D1735" s="3" t="s">
        <v>115</v>
      </c>
      <c r="E1735" s="3" t="s">
        <v>328</v>
      </c>
    </row>
    <row r="1736">
      <c r="A1736" s="23">
        <v>45890.4726634838</v>
      </c>
      <c r="B1736" s="3" t="s">
        <v>329</v>
      </c>
      <c r="C1736" s="3" t="s">
        <v>733</v>
      </c>
      <c r="D1736" s="3" t="s">
        <v>115</v>
      </c>
      <c r="E1736" s="3" t="s">
        <v>328</v>
      </c>
    </row>
    <row r="1737">
      <c r="A1737" s="23">
        <v>45890.4726672338</v>
      </c>
      <c r="B1737" s="3" t="s">
        <v>329</v>
      </c>
      <c r="C1737" s="3" t="s">
        <v>649</v>
      </c>
      <c r="D1737" s="3" t="s">
        <v>734</v>
      </c>
      <c r="E1737" s="3" t="s">
        <v>328</v>
      </c>
    </row>
    <row r="1738">
      <c r="A1738" s="23">
        <v>45890.47266908565</v>
      </c>
      <c r="B1738" s="3" t="s">
        <v>329</v>
      </c>
      <c r="C1738" s="3" t="s">
        <v>626</v>
      </c>
      <c r="D1738" s="3" t="s">
        <v>735</v>
      </c>
      <c r="E1738" s="3" t="s">
        <v>328</v>
      </c>
    </row>
    <row r="1739">
      <c r="A1739" s="23">
        <v>45890.47267120371</v>
      </c>
      <c r="B1739" s="3" t="s">
        <v>329</v>
      </c>
      <c r="C1739" s="3" t="s">
        <v>720</v>
      </c>
      <c r="D1739" s="3" t="s">
        <v>721</v>
      </c>
      <c r="E1739" s="3" t="s">
        <v>328</v>
      </c>
    </row>
    <row r="1740">
      <c r="A1740" s="23">
        <v>45890.47267736111</v>
      </c>
      <c r="B1740" s="3" t="s">
        <v>329</v>
      </c>
      <c r="C1740" s="3" t="s">
        <v>626</v>
      </c>
      <c r="D1740" s="3" t="s">
        <v>735</v>
      </c>
      <c r="E1740" s="3" t="s">
        <v>328</v>
      </c>
    </row>
    <row r="1741">
      <c r="A1741" s="23">
        <v>45890.47268071759</v>
      </c>
      <c r="B1741" s="3" t="s">
        <v>329</v>
      </c>
      <c r="C1741" s="3" t="s">
        <v>720</v>
      </c>
      <c r="D1741" s="3" t="s">
        <v>721</v>
      </c>
      <c r="E1741" s="3" t="s">
        <v>328</v>
      </c>
    </row>
    <row r="1742">
      <c r="A1742" s="23">
        <v>45890.47268361111</v>
      </c>
      <c r="B1742" s="3" t="s">
        <v>329</v>
      </c>
      <c r="C1742" s="3" t="s">
        <v>598</v>
      </c>
      <c r="D1742" s="3" t="s">
        <v>736</v>
      </c>
      <c r="E1742" s="3" t="s">
        <v>328</v>
      </c>
    </row>
    <row r="1743">
      <c r="A1743" s="23">
        <v>45890.47269922454</v>
      </c>
      <c r="B1743" s="3" t="s">
        <v>325</v>
      </c>
      <c r="C1743" s="3" t="s">
        <v>104</v>
      </c>
      <c r="D1743" s="3" t="s">
        <v>737</v>
      </c>
      <c r="E1743" s="3" t="s">
        <v>328</v>
      </c>
    </row>
    <row r="1744">
      <c r="A1744" s="23">
        <v>45890.47270320602</v>
      </c>
      <c r="B1744" s="3" t="s">
        <v>329</v>
      </c>
      <c r="C1744" s="3" t="s">
        <v>622</v>
      </c>
      <c r="D1744" s="3" t="s">
        <v>738</v>
      </c>
      <c r="E1744" s="3" t="s">
        <v>328</v>
      </c>
    </row>
    <row r="1745">
      <c r="A1745" s="23">
        <v>45890.47270753472</v>
      </c>
      <c r="B1745" s="3" t="s">
        <v>329</v>
      </c>
      <c r="C1745" s="3" t="s">
        <v>649</v>
      </c>
      <c r="D1745" s="3" t="s">
        <v>662</v>
      </c>
      <c r="E1745" s="3" t="s">
        <v>328</v>
      </c>
    </row>
    <row r="1746">
      <c r="A1746" s="23">
        <v>45890.472709375</v>
      </c>
      <c r="B1746" s="3" t="s">
        <v>329</v>
      </c>
      <c r="C1746" s="3" t="s">
        <v>626</v>
      </c>
      <c r="D1746" s="3" t="s">
        <v>663</v>
      </c>
      <c r="E1746" s="3" t="s">
        <v>328</v>
      </c>
    </row>
    <row r="1747">
      <c r="A1747" s="23">
        <v>45890.472711967595</v>
      </c>
      <c r="B1747" s="3" t="s">
        <v>329</v>
      </c>
      <c r="C1747" s="3" t="s">
        <v>701</v>
      </c>
      <c r="D1747" s="3" t="s">
        <v>702</v>
      </c>
      <c r="E1747" s="3" t="s">
        <v>328</v>
      </c>
    </row>
    <row r="1748">
      <c r="A1748" s="23">
        <v>45890.47271379629</v>
      </c>
      <c r="B1748" s="3" t="s">
        <v>329</v>
      </c>
      <c r="C1748" s="3" t="s">
        <v>626</v>
      </c>
      <c r="D1748" s="3" t="s">
        <v>663</v>
      </c>
      <c r="E1748" s="3" t="s">
        <v>328</v>
      </c>
    </row>
    <row r="1749">
      <c r="A1749" s="23">
        <v>45890.4727158912</v>
      </c>
      <c r="B1749" s="3" t="s">
        <v>329</v>
      </c>
      <c r="C1749" s="3" t="s">
        <v>701</v>
      </c>
      <c r="D1749" s="3" t="s">
        <v>702</v>
      </c>
      <c r="E1749" s="3" t="s">
        <v>328</v>
      </c>
    </row>
    <row r="1750">
      <c r="A1750" s="23">
        <v>45890.47271783565</v>
      </c>
      <c r="B1750" s="3" t="s">
        <v>329</v>
      </c>
      <c r="C1750" s="3" t="s">
        <v>594</v>
      </c>
      <c r="D1750" s="3" t="s">
        <v>664</v>
      </c>
      <c r="E1750" s="3" t="s">
        <v>328</v>
      </c>
    </row>
    <row r="1751">
      <c r="A1751" s="23">
        <v>45890.47273898148</v>
      </c>
      <c r="B1751" s="3" t="s">
        <v>325</v>
      </c>
      <c r="C1751" s="3" t="s">
        <v>104</v>
      </c>
      <c r="D1751" s="3" t="s">
        <v>739</v>
      </c>
      <c r="E1751" s="3" t="s">
        <v>328</v>
      </c>
    </row>
    <row r="1752">
      <c r="A1752" s="23">
        <v>45890.4727440162</v>
      </c>
      <c r="B1752" s="3" t="s">
        <v>329</v>
      </c>
      <c r="C1752" s="3" t="s">
        <v>704</v>
      </c>
      <c r="D1752" s="3" t="s">
        <v>705</v>
      </c>
      <c r="E1752" s="3" t="s">
        <v>328</v>
      </c>
    </row>
    <row r="1753">
      <c r="A1753" s="23">
        <v>45890.47274856482</v>
      </c>
      <c r="B1753" s="3" t="s">
        <v>329</v>
      </c>
      <c r="C1753" s="3" t="s">
        <v>649</v>
      </c>
      <c r="D1753" s="3" t="s">
        <v>665</v>
      </c>
      <c r="E1753" s="3" t="s">
        <v>328</v>
      </c>
    </row>
    <row r="1754">
      <c r="A1754" s="23">
        <v>45890.47275598379</v>
      </c>
      <c r="B1754" s="3" t="s">
        <v>329</v>
      </c>
      <c r="C1754" s="3" t="s">
        <v>626</v>
      </c>
      <c r="D1754" s="3" t="s">
        <v>666</v>
      </c>
      <c r="E1754" s="3" t="s">
        <v>328</v>
      </c>
    </row>
    <row r="1755">
      <c r="A1755" s="23">
        <v>45890.4727589699</v>
      </c>
      <c r="B1755" s="3" t="s">
        <v>329</v>
      </c>
      <c r="C1755" s="3" t="s">
        <v>701</v>
      </c>
      <c r="D1755" s="3" t="s">
        <v>702</v>
      </c>
      <c r="E1755" s="3" t="s">
        <v>328</v>
      </c>
    </row>
    <row r="1756">
      <c r="A1756" s="23">
        <v>45890.472762997684</v>
      </c>
      <c r="B1756" s="3" t="s">
        <v>329</v>
      </c>
      <c r="C1756" s="3" t="s">
        <v>626</v>
      </c>
      <c r="D1756" s="3" t="s">
        <v>666</v>
      </c>
      <c r="E1756" s="3" t="s">
        <v>328</v>
      </c>
    </row>
    <row r="1757">
      <c r="A1757" s="23">
        <v>45890.47276665509</v>
      </c>
      <c r="B1757" s="3" t="s">
        <v>329</v>
      </c>
      <c r="C1757" s="3" t="s">
        <v>701</v>
      </c>
      <c r="D1757" s="3" t="s">
        <v>702</v>
      </c>
      <c r="E1757" s="3" t="s">
        <v>328</v>
      </c>
    </row>
    <row r="1758">
      <c r="A1758" s="23">
        <v>45890.47277201389</v>
      </c>
      <c r="B1758" s="3" t="s">
        <v>329</v>
      </c>
      <c r="C1758" s="3" t="s">
        <v>594</v>
      </c>
      <c r="D1758" s="3" t="s">
        <v>667</v>
      </c>
      <c r="E1758" s="3" t="s">
        <v>328</v>
      </c>
    </row>
    <row r="1759">
      <c r="A1759" s="23">
        <v>45890.47277586805</v>
      </c>
      <c r="B1759" s="3" t="s">
        <v>325</v>
      </c>
      <c r="C1759" s="3" t="s">
        <v>706</v>
      </c>
      <c r="D1759" s="3" t="s">
        <v>740</v>
      </c>
      <c r="E1759" s="3" t="s">
        <v>328</v>
      </c>
    </row>
    <row r="1760">
      <c r="A1760" s="23">
        <v>45890.47294946759</v>
      </c>
      <c r="B1760" s="3" t="s">
        <v>329</v>
      </c>
      <c r="C1760" s="3" t="s">
        <v>596</v>
      </c>
      <c r="D1760" s="3" t="s">
        <v>667</v>
      </c>
      <c r="E1760" s="3" t="s">
        <v>328</v>
      </c>
    </row>
    <row r="1761">
      <c r="A1761" s="23">
        <v>45890.472954108795</v>
      </c>
      <c r="B1761" s="3" t="s">
        <v>329</v>
      </c>
      <c r="C1761" s="3" t="s">
        <v>649</v>
      </c>
      <c r="D1761" s="3" t="s">
        <v>650</v>
      </c>
      <c r="E1761" s="3" t="s">
        <v>328</v>
      </c>
    </row>
    <row r="1762">
      <c r="A1762" s="23">
        <v>45890.47295658565</v>
      </c>
      <c r="B1762" s="3" t="s">
        <v>329</v>
      </c>
      <c r="C1762" s="3" t="s">
        <v>626</v>
      </c>
      <c r="D1762" s="3" t="s">
        <v>627</v>
      </c>
      <c r="E1762" s="3" t="s">
        <v>328</v>
      </c>
    </row>
    <row r="1763">
      <c r="A1763" s="23">
        <v>45890.472959293984</v>
      </c>
      <c r="B1763" s="3" t="s">
        <v>329</v>
      </c>
      <c r="C1763" s="3" t="s">
        <v>708</v>
      </c>
      <c r="D1763" s="3" t="s">
        <v>709</v>
      </c>
      <c r="E1763" s="3" t="s">
        <v>328</v>
      </c>
    </row>
    <row r="1764">
      <c r="A1764" s="23">
        <v>45890.472962106476</v>
      </c>
      <c r="B1764" s="3" t="s">
        <v>329</v>
      </c>
      <c r="C1764" s="3" t="s">
        <v>626</v>
      </c>
      <c r="D1764" s="3" t="s">
        <v>627</v>
      </c>
      <c r="E1764" s="3" t="s">
        <v>328</v>
      </c>
    </row>
    <row r="1765">
      <c r="A1765" s="23">
        <v>45890.47296509259</v>
      </c>
      <c r="B1765" s="3" t="s">
        <v>329</v>
      </c>
      <c r="C1765" s="3" t="s">
        <v>708</v>
      </c>
      <c r="D1765" s="3" t="s">
        <v>709</v>
      </c>
      <c r="E1765" s="3" t="s">
        <v>328</v>
      </c>
    </row>
    <row r="1766">
      <c r="A1766" s="23">
        <v>45890.472966747686</v>
      </c>
      <c r="B1766" s="3" t="s">
        <v>329</v>
      </c>
      <c r="C1766" s="3" t="s">
        <v>615</v>
      </c>
      <c r="D1766" s="3" t="s">
        <v>609</v>
      </c>
      <c r="E1766" s="3" t="s">
        <v>328</v>
      </c>
    </row>
    <row r="1767">
      <c r="A1767" s="23">
        <v>45890.472969016206</v>
      </c>
      <c r="B1767" s="3" t="s">
        <v>329</v>
      </c>
      <c r="C1767" s="3" t="s">
        <v>710</v>
      </c>
      <c r="D1767" s="3" t="s">
        <v>711</v>
      </c>
      <c r="E1767" s="3" t="s">
        <v>328</v>
      </c>
    </row>
    <row r="1768">
      <c r="A1768" s="23">
        <v>45890.472970752315</v>
      </c>
      <c r="B1768" s="3" t="s">
        <v>329</v>
      </c>
      <c r="C1768" s="3" t="s">
        <v>712</v>
      </c>
      <c r="D1768" s="3" t="s">
        <v>713</v>
      </c>
      <c r="E1768" s="3" t="s">
        <v>328</v>
      </c>
    </row>
    <row r="1769">
      <c r="A1769" s="23">
        <v>45890.47297358797</v>
      </c>
      <c r="B1769" s="3" t="s">
        <v>329</v>
      </c>
      <c r="C1769" s="3" t="s">
        <v>714</v>
      </c>
      <c r="D1769" s="3" t="s">
        <v>115</v>
      </c>
      <c r="E1769" s="3" t="s">
        <v>328</v>
      </c>
    </row>
    <row r="1770">
      <c r="A1770" s="23">
        <v>45890.47297540509</v>
      </c>
      <c r="B1770" s="3" t="s">
        <v>329</v>
      </c>
      <c r="C1770" s="3" t="s">
        <v>715</v>
      </c>
      <c r="D1770" s="3" t="s">
        <v>716</v>
      </c>
      <c r="E1770" s="3" t="s">
        <v>328</v>
      </c>
    </row>
    <row r="1771">
      <c r="A1771" s="23">
        <v>45890.47304538194</v>
      </c>
      <c r="B1771" s="3" t="s">
        <v>325</v>
      </c>
      <c r="C1771" s="3" t="s">
        <v>104</v>
      </c>
      <c r="D1771" s="3" t="s">
        <v>741</v>
      </c>
      <c r="E1771" s="3" t="s">
        <v>328</v>
      </c>
    </row>
    <row r="1772">
      <c r="A1772" s="23">
        <v>45890.47305006944</v>
      </c>
      <c r="B1772" s="3" t="s">
        <v>329</v>
      </c>
      <c r="C1772" s="3" t="s">
        <v>718</v>
      </c>
      <c r="D1772" s="3" t="s">
        <v>719</v>
      </c>
      <c r="E1772" s="3" t="s">
        <v>328</v>
      </c>
    </row>
    <row r="1773">
      <c r="A1773" s="23">
        <v>45890.473067997686</v>
      </c>
      <c r="B1773" s="3" t="s">
        <v>329</v>
      </c>
      <c r="C1773" s="3" t="s">
        <v>649</v>
      </c>
      <c r="D1773" s="3" t="s">
        <v>655</v>
      </c>
      <c r="E1773" s="3" t="s">
        <v>328</v>
      </c>
    </row>
    <row r="1774">
      <c r="A1774" s="23">
        <v>45890.47306962963</v>
      </c>
      <c r="B1774" s="3" t="s">
        <v>329</v>
      </c>
      <c r="C1774" s="3" t="s">
        <v>626</v>
      </c>
      <c r="D1774" s="3" t="s">
        <v>629</v>
      </c>
      <c r="E1774" s="3" t="s">
        <v>328</v>
      </c>
    </row>
    <row r="1775">
      <c r="A1775" s="23">
        <v>45890.473071562505</v>
      </c>
      <c r="B1775" s="3" t="s">
        <v>329</v>
      </c>
      <c r="C1775" s="3" t="s">
        <v>701</v>
      </c>
      <c r="D1775" s="3" t="s">
        <v>702</v>
      </c>
      <c r="E1775" s="3" t="s">
        <v>328</v>
      </c>
    </row>
    <row r="1776">
      <c r="A1776" s="23">
        <v>45890.47308401621</v>
      </c>
      <c r="B1776" s="3" t="s">
        <v>329</v>
      </c>
      <c r="C1776" s="3" t="s">
        <v>626</v>
      </c>
      <c r="D1776" s="3" t="s">
        <v>629</v>
      </c>
      <c r="E1776" s="3" t="s">
        <v>328</v>
      </c>
    </row>
    <row r="1777">
      <c r="A1777" s="23">
        <v>45890.47308899305</v>
      </c>
      <c r="B1777" s="3" t="s">
        <v>329</v>
      </c>
      <c r="C1777" s="3" t="s">
        <v>701</v>
      </c>
      <c r="D1777" s="3" t="s">
        <v>702</v>
      </c>
      <c r="E1777" s="3" t="s">
        <v>328</v>
      </c>
    </row>
    <row r="1778">
      <c r="A1778" s="23">
        <v>45890.4730914699</v>
      </c>
      <c r="B1778" s="3" t="s">
        <v>329</v>
      </c>
      <c r="C1778" s="3" t="s">
        <v>594</v>
      </c>
      <c r="D1778" s="3" t="s">
        <v>595</v>
      </c>
      <c r="E1778" s="3" t="s">
        <v>328</v>
      </c>
    </row>
    <row r="1779">
      <c r="A1779" s="23">
        <v>45890.47309719908</v>
      </c>
      <c r="B1779" s="3" t="s">
        <v>325</v>
      </c>
      <c r="C1779" s="3" t="s">
        <v>706</v>
      </c>
      <c r="D1779" s="3" t="s">
        <v>740</v>
      </c>
      <c r="E1779" s="3" t="s">
        <v>328</v>
      </c>
    </row>
    <row r="1780">
      <c r="A1780" s="23">
        <v>45890.47330113426</v>
      </c>
      <c r="B1780" s="3" t="s">
        <v>329</v>
      </c>
      <c r="C1780" s="3" t="s">
        <v>596</v>
      </c>
      <c r="D1780" s="3" t="s">
        <v>595</v>
      </c>
      <c r="E1780" s="3" t="s">
        <v>328</v>
      </c>
    </row>
    <row r="1781">
      <c r="A1781" s="23">
        <v>45890.47330509259</v>
      </c>
      <c r="B1781" s="3" t="s">
        <v>329</v>
      </c>
      <c r="C1781" s="3" t="s">
        <v>649</v>
      </c>
      <c r="D1781" s="3" t="s">
        <v>656</v>
      </c>
      <c r="E1781" s="3" t="s">
        <v>328</v>
      </c>
    </row>
    <row r="1782">
      <c r="A1782" s="23">
        <v>45890.47330694445</v>
      </c>
      <c r="B1782" s="3" t="s">
        <v>329</v>
      </c>
      <c r="C1782" s="3" t="s">
        <v>626</v>
      </c>
      <c r="D1782" s="3" t="s">
        <v>630</v>
      </c>
      <c r="E1782" s="3" t="s">
        <v>328</v>
      </c>
    </row>
    <row r="1783">
      <c r="A1783" s="23">
        <v>45890.47330865741</v>
      </c>
      <c r="B1783" s="3" t="s">
        <v>329</v>
      </c>
      <c r="C1783" s="3" t="s">
        <v>701</v>
      </c>
      <c r="D1783" s="3" t="s">
        <v>702</v>
      </c>
      <c r="E1783" s="3" t="s">
        <v>328</v>
      </c>
    </row>
    <row r="1784">
      <c r="A1784" s="23">
        <v>45890.47331100694</v>
      </c>
      <c r="B1784" s="3" t="s">
        <v>329</v>
      </c>
      <c r="C1784" s="3" t="s">
        <v>626</v>
      </c>
      <c r="D1784" s="3" t="s">
        <v>630</v>
      </c>
      <c r="E1784" s="3" t="s">
        <v>328</v>
      </c>
    </row>
    <row r="1785">
      <c r="A1785" s="23">
        <v>45890.473312939816</v>
      </c>
      <c r="B1785" s="3" t="s">
        <v>329</v>
      </c>
      <c r="C1785" s="3" t="s">
        <v>701</v>
      </c>
      <c r="D1785" s="3" t="s">
        <v>702</v>
      </c>
      <c r="E1785" s="3" t="s">
        <v>328</v>
      </c>
    </row>
    <row r="1786">
      <c r="A1786" s="23">
        <v>45890.47331519676</v>
      </c>
      <c r="B1786" s="3" t="s">
        <v>329</v>
      </c>
      <c r="C1786" s="3" t="s">
        <v>594</v>
      </c>
      <c r="D1786" s="3" t="s">
        <v>597</v>
      </c>
      <c r="E1786" s="3" t="s">
        <v>328</v>
      </c>
    </row>
    <row r="1787">
      <c r="A1787" s="23">
        <v>45890.4733190625</v>
      </c>
      <c r="B1787" s="3" t="s">
        <v>325</v>
      </c>
      <c r="C1787" s="3" t="s">
        <v>706</v>
      </c>
      <c r="D1787" s="3" t="s">
        <v>740</v>
      </c>
      <c r="E1787" s="3" t="s">
        <v>328</v>
      </c>
    </row>
    <row r="1788">
      <c r="A1788" s="23">
        <v>45890.47347405093</v>
      </c>
      <c r="B1788" s="3" t="s">
        <v>329</v>
      </c>
      <c r="C1788" s="3" t="s">
        <v>596</v>
      </c>
      <c r="D1788" s="3" t="s">
        <v>597</v>
      </c>
      <c r="E1788" s="3" t="s">
        <v>328</v>
      </c>
    </row>
    <row r="1789">
      <c r="A1789" s="23">
        <v>45890.47348001157</v>
      </c>
      <c r="B1789" s="3" t="s">
        <v>329</v>
      </c>
      <c r="C1789" s="3" t="s">
        <v>649</v>
      </c>
      <c r="D1789" s="3" t="s">
        <v>657</v>
      </c>
      <c r="E1789" s="3" t="s">
        <v>328</v>
      </c>
    </row>
    <row r="1790">
      <c r="A1790" s="23">
        <v>45890.47348313658</v>
      </c>
      <c r="B1790" s="3" t="s">
        <v>329</v>
      </c>
      <c r="C1790" s="3" t="s">
        <v>626</v>
      </c>
      <c r="D1790" s="3" t="s">
        <v>631</v>
      </c>
      <c r="E1790" s="3" t="s">
        <v>328</v>
      </c>
    </row>
    <row r="1791">
      <c r="A1791" s="23">
        <v>45890.473485625</v>
      </c>
      <c r="B1791" s="3" t="s">
        <v>329</v>
      </c>
      <c r="C1791" s="3" t="s">
        <v>720</v>
      </c>
      <c r="D1791" s="3" t="s">
        <v>721</v>
      </c>
      <c r="E1791" s="3" t="s">
        <v>328</v>
      </c>
    </row>
    <row r="1792">
      <c r="A1792" s="23">
        <v>45890.47348833333</v>
      </c>
      <c r="B1792" s="3" t="s">
        <v>329</v>
      </c>
      <c r="C1792" s="3" t="s">
        <v>626</v>
      </c>
      <c r="D1792" s="3" t="s">
        <v>631</v>
      </c>
      <c r="E1792" s="3" t="s">
        <v>328</v>
      </c>
    </row>
    <row r="1793">
      <c r="A1793" s="23">
        <v>45890.47349106481</v>
      </c>
      <c r="B1793" s="3" t="s">
        <v>329</v>
      </c>
      <c r="C1793" s="3" t="s">
        <v>720</v>
      </c>
      <c r="D1793" s="3" t="s">
        <v>721</v>
      </c>
      <c r="E1793" s="3" t="s">
        <v>328</v>
      </c>
    </row>
    <row r="1794">
      <c r="A1794" s="23">
        <v>45890.47349409723</v>
      </c>
      <c r="B1794" s="3" t="s">
        <v>329</v>
      </c>
      <c r="C1794" s="3" t="s">
        <v>598</v>
      </c>
      <c r="D1794" s="3" t="s">
        <v>599</v>
      </c>
      <c r="E1794" s="3" t="s">
        <v>328</v>
      </c>
    </row>
    <row r="1795">
      <c r="A1795" s="23">
        <v>45890.47349945601</v>
      </c>
      <c r="B1795" s="3" t="s">
        <v>325</v>
      </c>
      <c r="C1795" s="3" t="s">
        <v>706</v>
      </c>
      <c r="D1795" s="3" t="s">
        <v>740</v>
      </c>
      <c r="E1795" s="3" t="s">
        <v>328</v>
      </c>
    </row>
    <row r="1796">
      <c r="A1796" s="23">
        <v>45890.47359504629</v>
      </c>
      <c r="B1796" s="3" t="s">
        <v>329</v>
      </c>
      <c r="C1796" s="3" t="s">
        <v>596</v>
      </c>
      <c r="D1796" s="3" t="s">
        <v>599</v>
      </c>
      <c r="E1796" s="3" t="s">
        <v>328</v>
      </c>
    </row>
    <row r="1797">
      <c r="A1797" s="23">
        <v>45890.47360489583</v>
      </c>
      <c r="B1797" s="3" t="s">
        <v>329</v>
      </c>
      <c r="C1797" s="3" t="s">
        <v>338</v>
      </c>
      <c r="D1797" s="3" t="s">
        <v>742</v>
      </c>
      <c r="E1797" s="3" t="s">
        <v>328</v>
      </c>
    </row>
    <row r="1798">
      <c r="A1798" s="23">
        <v>45890.47362302084</v>
      </c>
      <c r="B1798" s="3" t="s">
        <v>329</v>
      </c>
      <c r="C1798" s="3" t="s">
        <v>722</v>
      </c>
      <c r="D1798" s="3" t="s">
        <v>115</v>
      </c>
      <c r="E1798" s="3" t="s">
        <v>328</v>
      </c>
    </row>
    <row r="1799">
      <c r="A1799" s="23">
        <v>45890.47362528935</v>
      </c>
      <c r="B1799" s="3" t="s">
        <v>329</v>
      </c>
      <c r="C1799" s="3" t="s">
        <v>497</v>
      </c>
      <c r="D1799" s="3" t="s">
        <v>115</v>
      </c>
      <c r="E1799" s="3" t="s">
        <v>328</v>
      </c>
    </row>
    <row r="1800">
      <c r="A1800" s="23">
        <v>45890.47362892361</v>
      </c>
      <c r="B1800" s="3" t="s">
        <v>329</v>
      </c>
      <c r="C1800" s="3" t="s">
        <v>342</v>
      </c>
      <c r="D1800" s="3" t="s">
        <v>115</v>
      </c>
      <c r="E1800" s="3" t="s">
        <v>328</v>
      </c>
    </row>
    <row r="1801">
      <c r="A1801" s="23">
        <v>45890.47363125</v>
      </c>
      <c r="B1801" s="3" t="s">
        <v>329</v>
      </c>
      <c r="C1801" s="3" t="s">
        <v>498</v>
      </c>
      <c r="D1801" s="3" t="s">
        <v>115</v>
      </c>
      <c r="E1801" s="3" t="s">
        <v>328</v>
      </c>
    </row>
    <row r="1802">
      <c r="A1802" s="23">
        <v>45890.47363601852</v>
      </c>
      <c r="B1802" s="3" t="s">
        <v>329</v>
      </c>
      <c r="C1802" s="3" t="s">
        <v>499</v>
      </c>
      <c r="D1802" s="3" t="s">
        <v>115</v>
      </c>
      <c r="E1802" s="3" t="s">
        <v>328</v>
      </c>
    </row>
    <row r="1803">
      <c r="A1803" s="23">
        <v>45890.47365024306</v>
      </c>
      <c r="B1803" s="3" t="s">
        <v>329</v>
      </c>
      <c r="C1803" s="3" t="s">
        <v>743</v>
      </c>
      <c r="D1803" s="3" t="s">
        <v>115</v>
      </c>
      <c r="E1803" s="3" t="s">
        <v>328</v>
      </c>
    </row>
    <row r="1804">
      <c r="A1804" s="23">
        <v>45890.473654814814</v>
      </c>
      <c r="B1804" s="3" t="s">
        <v>329</v>
      </c>
      <c r="C1804" s="3" t="s">
        <v>744</v>
      </c>
      <c r="D1804" s="3" t="s">
        <v>115</v>
      </c>
      <c r="E1804" s="3" t="s">
        <v>328</v>
      </c>
    </row>
    <row r="1805">
      <c r="A1805" s="23">
        <v>45890.47365663195</v>
      </c>
      <c r="B1805" s="3" t="s">
        <v>329</v>
      </c>
      <c r="C1805" s="3" t="s">
        <v>536</v>
      </c>
      <c r="D1805" s="3" t="s">
        <v>115</v>
      </c>
      <c r="E1805" s="3" t="s">
        <v>328</v>
      </c>
    </row>
    <row r="1806">
      <c r="A1806" s="23">
        <v>45890.47365987269</v>
      </c>
      <c r="B1806" s="3" t="s">
        <v>329</v>
      </c>
      <c r="C1806" s="3" t="s">
        <v>502</v>
      </c>
      <c r="D1806" s="3" t="s">
        <v>115</v>
      </c>
      <c r="E1806" s="3" t="s">
        <v>328</v>
      </c>
    </row>
    <row r="1807">
      <c r="A1807" s="23">
        <v>45890.473678229166</v>
      </c>
      <c r="B1807" s="3" t="s">
        <v>329</v>
      </c>
      <c r="C1807" s="3" t="s">
        <v>600</v>
      </c>
      <c r="D1807" s="3" t="s">
        <v>745</v>
      </c>
      <c r="E1807" s="3" t="s">
        <v>328</v>
      </c>
    </row>
    <row r="1808">
      <c r="A1808" s="23">
        <v>45890.47368037037</v>
      </c>
      <c r="B1808" s="3" t="s">
        <v>329</v>
      </c>
      <c r="C1808" s="3" t="str">
        <f>== Finance Automation V10 Complete ===</f>
        <v>#ERROR!</v>
      </c>
      <c r="D1808" s="3" t="s">
        <v>746</v>
      </c>
      <c r="E1808" s="3" t="s">
        <v>328</v>
      </c>
    </row>
  </sheetData>
  <drawing r:id="rId1"/>
</worksheet>
</file>